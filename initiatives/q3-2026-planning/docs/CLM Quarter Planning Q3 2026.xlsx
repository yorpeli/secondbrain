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payoneerinc.sharepoint.com/sites/Product/ProductDocuments/Product Team/CLM/Policy and Eligibility/Profiles and Qualifications/Quarterly Planning/"/>
    </mc:Choice>
  </mc:AlternateContent>
  <xr:revisionPtr revIDLastSave="6321" documentId="8_{F09DEED0-9281-954B-A5DA-86B5F8F59B20}" xr6:coauthVersionLast="47" xr6:coauthVersionMax="47" xr10:uidLastSave="{B4CE2482-D0C9-4B37-A87F-4E744D8614B6}"/>
  <bookViews>
    <workbookView xWindow="-120" yWindow="-120" windowWidth="29040" windowHeight="15720" activeTab="7" xr2:uid="{83C20A5A-4AC7-8243-B013-1BCD8820695C}"/>
  </bookViews>
  <sheets>
    <sheet name="Licenses" sheetId="31" r:id="rId1"/>
    <sheet name="P&amp;Q Plan" sheetId="22" r:id="rId2"/>
    <sheet name="EVS Q3 plan" sheetId="24" r:id="rId3"/>
    <sheet name="KYC Journey Q3 2026" sheetId="25" r:id="rId4"/>
    <sheet name="FDC Q3 2026" sheetId="26" r:id="rId5"/>
    <sheet name="DU Q3 2026" sheetId="27" r:id="rId6"/>
    <sheet name="License Infra" sheetId="28" r:id="rId7"/>
    <sheet name="India License" sheetId="29" r:id="rId8"/>
    <sheet name="Roadmap Template" sheetId="18" r:id="rId9"/>
    <sheet name="Current Quarter Plan Template" sheetId="19" r:id="rId10"/>
    <sheet name="Previous Quarter Plan vs Actual" sheetId="21" r:id="rId11"/>
    <sheet name="Dropdowns" sheetId="20" state="hidden" r:id="rId12"/>
  </sheets>
  <definedNames>
    <definedName name="_xlnm._FilterDatabase" localSheetId="4" hidden="1">'FDC Q3 2026'!$A$1:$O$29</definedName>
    <definedName name="_xlnm._FilterDatabase" localSheetId="3" hidden="1">'KYC Journey Q3 2026'!$A$1:$O$34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 i="31" l="1"/>
  <c r="M14" i="31"/>
  <c r="M13" i="31"/>
  <c r="F25" i="28"/>
  <c r="F24" i="28"/>
  <c r="F26" i="28"/>
  <c r="L28" i="27"/>
  <c r="L32" i="26"/>
  <c r="L33" i="26"/>
  <c r="L35" i="26" s="1"/>
  <c r="L34" i="26"/>
  <c r="K37" i="25"/>
  <c r="K38" i="25"/>
  <c r="K40" i="25" s="1"/>
  <c r="K39" i="25"/>
  <c r="G28" i="24"/>
  <c r="G29" i="24"/>
  <c r="G31" i="24" s="1"/>
  <c r="M21" i="22"/>
  <c r="M20" i="22"/>
  <c r="M19" i="22"/>
  <c r="L15" i="19"/>
  <c r="L14" i="19"/>
  <c r="L16" i="19"/>
  <c r="L13" i="19"/>
  <c r="E45" i="18"/>
  <c r="F45" i="18"/>
  <c r="G45" i="18"/>
  <c r="H45" i="18"/>
  <c r="I45" i="18"/>
  <c r="J45" i="18"/>
  <c r="K45" i="18"/>
  <c r="L45" i="18"/>
  <c r="M45" i="18"/>
  <c r="N45" i="18"/>
  <c r="O45" i="18"/>
  <c r="P45" i="18"/>
  <c r="Q45" i="18"/>
  <c r="D45" i="18"/>
  <c r="E37" i="18"/>
  <c r="F37" i="18"/>
  <c r="G37" i="18"/>
  <c r="H37" i="18"/>
  <c r="I37" i="18"/>
  <c r="J37" i="18"/>
  <c r="K37" i="18"/>
  <c r="L37" i="18"/>
  <c r="M37" i="18"/>
  <c r="N37" i="18"/>
  <c r="O37" i="18"/>
  <c r="P37" i="18"/>
  <c r="Q37" i="18"/>
  <c r="E38" i="18"/>
  <c r="F38" i="18"/>
  <c r="G38" i="18"/>
  <c r="H38" i="18"/>
  <c r="I38" i="18"/>
  <c r="J38" i="18"/>
  <c r="K38" i="18"/>
  <c r="L38" i="18"/>
  <c r="M38" i="18"/>
  <c r="N38" i="18"/>
  <c r="O38" i="18"/>
  <c r="P38" i="18"/>
  <c r="Q38" i="18"/>
  <c r="E39" i="18"/>
  <c r="F39" i="18"/>
  <c r="G39" i="18"/>
  <c r="H39" i="18"/>
  <c r="I39" i="18"/>
  <c r="J39" i="18"/>
  <c r="K39" i="18"/>
  <c r="L39" i="18"/>
  <c r="M39" i="18"/>
  <c r="N39" i="18"/>
  <c r="O39" i="18"/>
  <c r="P39" i="18"/>
  <c r="Q39" i="18"/>
  <c r="E40" i="18"/>
  <c r="F40" i="18"/>
  <c r="G40" i="18"/>
  <c r="H40" i="18"/>
  <c r="I40" i="18"/>
  <c r="J40" i="18"/>
  <c r="K40" i="18"/>
  <c r="L40" i="18"/>
  <c r="M40" i="18"/>
  <c r="N40" i="18"/>
  <c r="O40" i="18"/>
  <c r="P40" i="18"/>
  <c r="Q40" i="18"/>
  <c r="E41" i="18"/>
  <c r="F41" i="18"/>
  <c r="G41" i="18"/>
  <c r="H41" i="18"/>
  <c r="I41" i="18"/>
  <c r="J41" i="18"/>
  <c r="K41" i="18"/>
  <c r="L41" i="18"/>
  <c r="M41" i="18"/>
  <c r="N41" i="18"/>
  <c r="O41" i="18"/>
  <c r="P41" i="18"/>
  <c r="Q41" i="18"/>
  <c r="F36" i="18"/>
  <c r="G36" i="18"/>
  <c r="H36" i="18"/>
  <c r="I36" i="18"/>
  <c r="J36" i="18"/>
  <c r="K36" i="18"/>
  <c r="L36" i="18"/>
  <c r="M36" i="18"/>
  <c r="N36" i="18"/>
  <c r="O36" i="18"/>
  <c r="P36" i="18"/>
  <c r="Q36" i="18"/>
  <c r="E36" i="18"/>
  <c r="D37" i="18"/>
  <c r="D38" i="18"/>
  <c r="D39" i="18"/>
  <c r="D40" i="18"/>
  <c r="D41" i="18"/>
  <c r="D36" i="18"/>
  <c r="R32" i="18"/>
  <c r="R31" i="18"/>
  <c r="R30" i="18"/>
  <c r="R29" i="18"/>
  <c r="R28" i="18"/>
  <c r="R26" i="18"/>
  <c r="R25" i="18"/>
  <c r="R24" i="18"/>
  <c r="R23" i="18"/>
  <c r="R22" i="18"/>
  <c r="R20" i="18"/>
  <c r="R19" i="18"/>
  <c r="R18" i="18"/>
  <c r="R17" i="18"/>
  <c r="R16" i="18"/>
  <c r="R14" i="18"/>
  <c r="R13" i="18"/>
  <c r="R12" i="18"/>
  <c r="R11" i="18"/>
  <c r="R10" i="18"/>
  <c r="R8" i="18"/>
  <c r="R7" i="18"/>
  <c r="R6" i="18"/>
  <c r="R5" i="18"/>
  <c r="R4" i="18"/>
  <c r="D42" i="18"/>
  <c r="E42" i="18"/>
  <c r="R36" i="18"/>
  <c r="R37" i="18"/>
  <c r="Q42" i="18"/>
  <c r="P42" i="18"/>
  <c r="O42" i="18"/>
  <c r="N42" i="18"/>
  <c r="M42" i="18"/>
  <c r="L42" i="18"/>
  <c r="K42" i="18"/>
  <c r="J42" i="18"/>
  <c r="I42" i="18"/>
  <c r="H42" i="18"/>
  <c r="G42" i="18"/>
  <c r="R41" i="18"/>
  <c r="R40" i="18"/>
  <c r="R38" i="18"/>
  <c r="F42" i="18"/>
  <c r="R42" i="18"/>
  <c r="R45" i="18"/>
  <c r="S27" i="18"/>
  <c r="S21" i="18"/>
  <c r="S15" i="18"/>
  <c r="S9" i="18"/>
  <c r="S3" i="18"/>
  <c r="M16" i="31" l="1"/>
  <c r="M22" i="22"/>
  <c r="F27"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tc={37FF7DB3-4582-4B02-8F76-A4CC6683AF32}</author>
    <author>tc={E14A2286-3F56-4C05-8558-78145C3B5848}</author>
  </authors>
  <commentList>
    <comment ref="B6" authorId="0" shapeId="0" xr:uid="{37FF7DB3-4582-4B02-8F76-A4CC6683AF3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@Vladimir Pimonov is it going to be a test? 
Reply:
    @Tally we will A/B AiPrise vs other vendor, yes</t>
      </text>
    </comment>
    <comment ref="B13" authorId="1" shapeId="0" xr:uid="{E14A2286-3F56-4C05-8558-78145C3B584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@Vladimir Pimonov is it going to be a test?
Reply:
    no, we will run silently before rolling out
this only affects priority of provider
Reply:
    do you want to also measure the impact of this feature?
if so, we need a test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tc={055B6EB3-2654-4C09-8954-EBAF65A98149}</author>
  </authors>
  <commentList>
    <comment ref="D11" authorId="0" shapeId="0" xr:uid="{055B6EB3-2654-4C09-8954-EBAF65A9814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@Maya Bar me and Amit had a meeting about Sharki's fuzzy model and i dont think we can use it. Amit can elaborate</t>
      </text>
    </comment>
  </commentList>
</comments>
</file>

<file path=xl/sharedStrings.xml><?xml version="1.0" encoding="utf-8"?>
<sst xmlns="http://schemas.openxmlformats.org/spreadsheetml/2006/main" count="1292" uniqueCount="526">
  <si>
    <t>Priority</t>
  </si>
  <si>
    <t>Track</t>
  </si>
  <si>
    <t>Item name</t>
  </si>
  <si>
    <t>Epic/Feature Link</t>
  </si>
  <si>
    <t>Category</t>
  </si>
  <si>
    <t>Item description</t>
  </si>
  <si>
    <t>Rational</t>
  </si>
  <si>
    <t>Top line metric</t>
  </si>
  <si>
    <t>Team Metric</t>
  </si>
  <si>
    <t>Predicted Impact</t>
  </si>
  <si>
    <t>Measurements</t>
  </si>
  <si>
    <t>Committed</t>
  </si>
  <si>
    <t>Man weeks Effort</t>
  </si>
  <si>
    <t>Effort Breakdown</t>
  </si>
  <si>
    <t>Dependencies in other domains</t>
  </si>
  <si>
    <t>Risk/Challenges</t>
  </si>
  <si>
    <t>P0</t>
  </si>
  <si>
    <t>Product Commitment</t>
  </si>
  <si>
    <t>KYC Data Orchestrator</t>
  </si>
  <si>
    <t>https://dev.azure.com/Payoneer/Payoneer/_workitems/edit/1251645</t>
  </si>
  <si>
    <t>Select...</t>
  </si>
  <si>
    <t>A single service (S1) that governs the CLM data orchestration in both onboarding and InLife from start to finish</t>
  </si>
  <si>
    <t>Currently the orchestration responsibility is fragmented and a makeshift framework at best. Having a single governor for the entire process will simplify processes, reduce duplication of logic by other teams and ensure scalability</t>
  </si>
  <si>
    <t>Yes</t>
  </si>
  <si>
    <t>India License</t>
  </si>
  <si>
    <t>https://dev.azure.com/Payoneer/Payoneer/_workitems/edit/906123</t>
  </si>
  <si>
    <t>Developments and Configurations to support the release of India License (MNRL, LE, Configurations, etc)</t>
  </si>
  <si>
    <t>Business Enablement in India under a new regulation</t>
  </si>
  <si>
    <t>Australia License Migration</t>
  </si>
  <si>
    <t>https://dev.azure.com/Payoneer/Payoneer/_workitems/edit/1214263</t>
  </si>
  <si>
    <t>Supporting and executing the Australia License Migration</t>
  </si>
  <si>
    <t>Business Enablement in Australia under a new regulation</t>
  </si>
  <si>
    <t>???</t>
  </si>
  <si>
    <t>P1</t>
  </si>
  <si>
    <t>CPM UI</t>
  </si>
  <si>
    <t>https://dev.azure.com/Payoneer/Payoneer/_workitems/edit/1220044</t>
  </si>
  <si>
    <t>Supporting the new CPM UI Infra-wise and rollout to production</t>
  </si>
  <si>
    <t>As part of getting ready for CLM Cleanup and other future migrations and cleanups that come with new products or licenses, we want to augment the existing migration tool infra with a UI that allows faster flow configuration  without dev involvement</t>
  </si>
  <si>
    <t>????</t>
  </si>
  <si>
    <t>Fuzzy Matching via Data Compare Service​</t>
  </si>
  <si>
    <t>https://dev.azure.com/Payoneer/Payoneer/_workitems/edit/1221955</t>
  </si>
  <si>
    <t>Allowing Fuzzy matching of data points using Data Compare Service, which is a fallback to the current Exact Match</t>
  </si>
  <si>
    <t>Exact matching of data points is too rigid and does not account for abbreviations or mistakes made by the user that should be an acceptable risk. This directly impacts the CVR</t>
  </si>
  <si>
    <t>Periodic Review Implementation (PEL/UK SDD, AU, CA)</t>
  </si>
  <si>
    <t>Implementation of Periodic Review for DD levels and Licenses we still have a gap in</t>
  </si>
  <si>
    <t>Implementation of Periodic Review is key to ensure we are compliant 100% and do not have any possible breaches of regulation</t>
  </si>
  <si>
    <t>Engineering Excellence</t>
  </si>
  <si>
    <t>Management Tools (DEM, Qualification, Profile)</t>
  </si>
  <si>
    <t>Legal Entity Service Refactoring</t>
  </si>
  <si>
    <t>Total Sum of MW:</t>
  </si>
  <si>
    <t>Comitted Sum of MW:</t>
  </si>
  <si>
    <t>Capacity:</t>
  </si>
  <si>
    <t>Over Capacity:</t>
  </si>
  <si>
    <t>Available Manpower:</t>
  </si>
  <si>
    <t>MWs in Q:</t>
  </si>
  <si>
    <t>Tech Debt Deduction %:</t>
  </si>
  <si>
    <t>Buffer Deduction %:</t>
  </si>
  <si>
    <t>Extra Holiday MW Deduction:</t>
  </si>
  <si>
    <t>Item</t>
  </si>
  <si>
    <t>ASSIGNED TO</t>
  </si>
  <si>
    <t>STATE</t>
  </si>
  <si>
    <t>Sprint 1113</t>
  </si>
  <si>
    <t>Sprint 1114</t>
  </si>
  <si>
    <t>Sprint 1115</t>
  </si>
  <si>
    <t>Sprint 1116</t>
  </si>
  <si>
    <t>Sprint 1117</t>
  </si>
  <si>
    <t>Sprint 1118</t>
  </si>
  <si>
    <t>Sprint 1119</t>
  </si>
  <si>
    <t>MW effort 
(without QA)</t>
  </si>
  <si>
    <t>% of total Q effort</t>
  </si>
  <si>
    <t>&lt;Item #1&gt;</t>
  </si>
  <si>
    <t>&lt;Task #1&gt;</t>
  </si>
  <si>
    <t>&lt;Task #2&gt;</t>
  </si>
  <si>
    <t>&lt;Task #3&gt;</t>
  </si>
  <si>
    <t>&lt;Task #4&gt;</t>
  </si>
  <si>
    <t>QA</t>
  </si>
  <si>
    <t>&lt;Item #2&gt;</t>
  </si>
  <si>
    <t>&lt;Item #3&gt;</t>
  </si>
  <si>
    <t>&lt;Item #4&gt;</t>
  </si>
  <si>
    <t>&lt;Item #5&gt;</t>
  </si>
  <si>
    <t>Total effort 
(Developer)</t>
  </si>
  <si>
    <t>Dev1</t>
  </si>
  <si>
    <t>Dev2</t>
  </si>
  <si>
    <t>Dev3</t>
  </si>
  <si>
    <t>Dev4</t>
  </si>
  <si>
    <t>Dev5</t>
  </si>
  <si>
    <t>Dev6</t>
  </si>
  <si>
    <t>Total effort 
per week
(Dev)</t>
  </si>
  <si>
    <t>Total QA effort</t>
  </si>
  <si>
    <t>Short Description</t>
  </si>
  <si>
    <t>Current Status</t>
  </si>
  <si>
    <t>Impact</t>
  </si>
  <si>
    <t>Top Line Metrics</t>
  </si>
  <si>
    <t>Team Metrics</t>
  </si>
  <si>
    <t>Commited</t>
  </si>
  <si>
    <t>Item Status</t>
  </si>
  <si>
    <t>Conversion</t>
  </si>
  <si>
    <t>100% Compliant</t>
  </si>
  <si>
    <t>Delivered / In Rollout</t>
  </si>
  <si>
    <t>KTLO</t>
  </si>
  <si>
    <t>Not Started</t>
  </si>
  <si>
    <t>Bad Actors Accuracy</t>
  </si>
  <si>
    <t>Reduce Friction</t>
  </si>
  <si>
    <t>No</t>
  </si>
  <si>
    <t>Delayed to Next Quarter</t>
  </si>
  <si>
    <t>Growth</t>
  </si>
  <si>
    <t>In Progress</t>
  </si>
  <si>
    <t>Non-Dev Commitment</t>
  </si>
  <si>
    <t>P2</t>
  </si>
  <si>
    <t>Efficiency</t>
  </si>
  <si>
    <t>KYC Approval Rate</t>
  </si>
  <si>
    <t>TBD</t>
  </si>
  <si>
    <t>Removed</t>
  </si>
  <si>
    <t>Business Enablement</t>
  </si>
  <si>
    <t>In Rollout</t>
  </si>
  <si>
    <t>P3</t>
  </si>
  <si>
    <t>Coverage</t>
  </si>
  <si>
    <t>Unplanned</t>
  </si>
  <si>
    <t>Modernization</t>
  </si>
  <si>
    <t>Done</t>
  </si>
  <si>
    <t>P4</t>
  </si>
  <si>
    <t>Ops Saving</t>
  </si>
  <si>
    <t>Cancelled</t>
  </si>
  <si>
    <t>Blocked</t>
  </si>
  <si>
    <t>Israel License</t>
  </si>
  <si>
    <t>Epic 1141276: Israel License Implementation</t>
  </si>
  <si>
    <t>Executing new onboarding for Israel via CLM (per Israel reqs, tagged under Israel license) + Migrating existing customers under the Israel license</t>
  </si>
  <si>
    <t>Business Enablement in Israel under a new regulation</t>
  </si>
  <si>
    <t>Migrate CRP Prep Work</t>
  </si>
  <si>
    <t>PWP Eligibility</t>
  </si>
  <si>
    <t>Funds Consolidation Eligibility</t>
  </si>
  <si>
    <t xml:space="preserve">Migrating CRP logic to Profiles for Onboarding as part of CRP Deprecation </t>
  </si>
  <si>
    <t>Compliance do not believe that CPR as it is today is a good enough tool for Risk scoring and that it is over-complicated. Unless we commit actual time and resources to it, their intent is to have its onboarding triggers moved to Profiles and kill it - Building something new in the future via Ocilar</t>
  </si>
  <si>
    <t>Part of an ongoaing effort to centralize customer eligibility and ensures a single source of truth, maintaining consistency, accuracy, and compliance. This approach streamlines operations, aligns with regulations, and supports scalable growth.</t>
  </si>
  <si>
    <t>Having DEM perform unit verification and collection on a Person level (New entity) as opposed to just AH</t>
  </si>
  <si>
    <t>Enablement for Add Company and Personal Card</t>
  </si>
  <si>
    <t>DEM to Operate on Person Level</t>
  </si>
  <si>
    <t>Supporting PWP Eligibility via Profile framework (+Migration of existing population)</t>
  </si>
  <si>
    <t>Supporting Funds Consolidation Eligibility via Profile framework (+Migration of existing population)</t>
  </si>
  <si>
    <t>Stablecoin Wallet Enablement</t>
  </si>
  <si>
    <t>Supporting various requests from Stablecoin to ensure Compliance</t>
  </si>
  <si>
    <t>Enablement for Stablecoin expansion/operation in new markets</t>
  </si>
  <si>
    <t>R&amp;D status</t>
  </si>
  <si>
    <t>Trulioo to cloud</t>
  </si>
  <si>
    <t xml:space="preserve">Migrate the Trulioo EVS integration from the legacy on-prem stack to the cloud platform. First vendor in the phased EVS→cloud transition; committed for Q3.
</t>
  </si>
  <si>
    <t>Proves out the migration pattern on a high-volume vendor and establishes the reusable blueprint for the remaining vendors, while removing legacy infra dependencies.</t>
  </si>
  <si>
    <t>BVD to cloud</t>
  </si>
  <si>
    <t>Fuiou to cloud</t>
  </si>
  <si>
    <t>Persona to cloud</t>
  </si>
  <si>
    <t>New vendor integration - AIPrise</t>
  </si>
  <si>
    <t>0.5-2% company CVR</t>
  </si>
  <si>
    <t>Move AIPrise from POC to live production traffic as a new eKYB/eKYC vendor in EVS, routed through the cloud provider gateway. The aiprise-service shell is already deployed.</t>
  </si>
  <si>
    <t>Adds a real eKYB alternative in markets where BVD is the only path today (BVD sits at ~37% match with no fallback). Targets +0.5–2% company approval for T1–T2. POC done in Q1 and infra is already live, so this is mostly routing + ramp.</t>
  </si>
  <si>
    <t>New vendor integration - Au10tix</t>
  </si>
  <si>
    <t>NA</t>
  </si>
  <si>
    <t>Israel License - support/discovery</t>
  </si>
  <si>
    <t>Business enablement</t>
  </si>
  <si>
    <t>Japan PKK - new eKYC - support/discovery</t>
  </si>
  <si>
    <t>Launch Darkly Integration</t>
  </si>
  <si>
    <t>A/B testing infra</t>
  </si>
  <si>
    <t>Add LaunchDarkly feature flags to EVS so routing changes and new-vendor rollouts can be switched on/off and ramped by percentage from one place, alongside the existing rule-level rollout/A-B mechanism.</t>
  </si>
  <si>
    <t>A/B-testing and safe-rollout infrastructure with a real kill switch. It's the control plane the gradual ramps (Smart Routing, AIPrise, Sumsub) need to ship in stages and roll back instantly — without a deploy.</t>
  </si>
  <si>
    <t>EVS &lt;&gt; DCM</t>
  </si>
  <si>
    <t>Orchestration enabler</t>
  </si>
  <si>
    <t xml:space="preserve">	
Connect EVS verification output into the DCM (document-collection / KYC decision flow) so a verification result can drive the next KYC step automatically.</t>
  </si>
  <si>
    <t>Orchestration enabler — lets EVS results feed the downstream KYC flow directly instead of being read separately. The first EVS→DCM output shipped in Q2; this completes the integration</t>
  </si>
  <si>
    <t>India license support</t>
  </si>
  <si>
    <t>Regulatory requirement</t>
  </si>
  <si>
    <t>Support India's regulatory license requirements in onboarding/KYC.</t>
  </si>
  <si>
    <t xml:space="preserve">Smart vendor routing </t>
  </si>
  <si>
    <t>0.2 CVR + modernization</t>
  </si>
  <si>
    <t>Add a performance-aware layer in EVS that watches each vendor's match rate, error rate and latency per country/action, automatically shifts traffic off a degraded vendor to the next healthy one, and restores it on recovery. Falls back to today's static priorities when uncertain.</t>
  </si>
  <si>
    <t>Today EVS keeps sending 100% of traffic to a vendor even when it's degraded — for hours or days — until someone notices by hand. Over 6 months that was ~6,500 degraded requests and ~3,000 stuck on no-fallback routes. Cuts wasted spend and stuck verifications by ~75% and turns silent, never-detected match-rate drops into &lt;30-min alerts. ~0.2 CVR + modernization.</t>
  </si>
  <si>
    <t>URL Validation Service - support/enchancement</t>
  </si>
  <si>
    <t>Maintain and improve UVS, the standalone service that checks business URLs at onboarding (reachable? marketplace/social? real path?). Fix known issues</t>
  </si>
  <si>
    <t>Reduce friction. Only ~14% of submitted CLM URLs look like real business sites and 58% are "no website" sentinels; false-offline results and taxonomy gaps cause avoidable customer friction.</t>
  </si>
  <si>
    <t xml:space="preserve">Customer Risk Score - support/enchancement </t>
  </si>
  <si>
    <t>Datamodelprocessing Sservice - support</t>
  </si>
  <si>
    <t>Mass actions service - support</t>
  </si>
  <si>
    <t>P&amp;Q</t>
  </si>
  <si>
    <t>AddressValidation Service - support/enchancement</t>
  </si>
  <si>
    <t>New entity model - Person entity eKYX</t>
  </si>
  <si>
    <t xml:space="preserve">Individual fetch data - discovery </t>
  </si>
  <si>
    <t>Discovery into extending the FetchData pattern — pre-filling entity data by ID from an authoritative source — from companies to individuals (pull a person's verified details to pre-populate onboarding).</t>
  </si>
  <si>
    <t>Reduce friction. FetchData already pre-fills company data via registries across 7 providers; doing the same for individuals would cut manual entry and lift match rates. Discovery only.</t>
  </si>
  <si>
    <t>Singpass integration - support</t>
  </si>
  <si>
    <t>Localization support</t>
  </si>
  <si>
    <t>Sumsub POC and rollout</t>
  </si>
  <si>
    <t>0.5 CVR</t>
  </si>
  <si>
    <t>Draft mode</t>
  </si>
  <si>
    <t>Select…</t>
  </si>
  <si>
    <t>Predicted Impact  on total CLM population - team metric</t>
  </si>
  <si>
    <t>Segments</t>
  </si>
  <si>
    <t>Dependencies internal/external</t>
  </si>
  <si>
    <t>PRD</t>
  </si>
  <si>
    <t>Reg.&lt;&gt; Journey Service autonomy</t>
  </si>
  <si>
    <t>Data</t>
  </si>
  <si>
    <t>Complete missing data on user action log etc.</t>
  </si>
  <si>
    <t>External?</t>
  </si>
  <si>
    <t>Merge mobile app IDV FF</t>
  </si>
  <si>
    <t>Experiments entry point</t>
  </si>
  <si>
    <t>Enable a flexible entry point for experiments in account setup</t>
  </si>
  <si>
    <t>State machines deprecation</t>
  </si>
  <si>
    <t>External to reg:  EVS +  DU</t>
  </si>
  <si>
    <t>FFT? TBD</t>
  </si>
  <si>
    <t>* EVS
* DU</t>
  </si>
  <si>
    <t>POR in AS</t>
  </si>
  <si>
    <t>Closing the gaps from Q1-2</t>
  </si>
  <si>
    <t>Account approval</t>
  </si>
  <si>
    <t>Requirements submission</t>
  </si>
  <si>
    <t>Sumamry page for ecollection</t>
  </si>
  <si>
    <t>0.1% (1% on companies only)</t>
  </si>
  <si>
    <t>External only?</t>
  </si>
  <si>
    <t>Orchestration</t>
  </si>
  <si>
    <t>Closing gaps from Q1 re POR and CVD/POCA i.e. basic use cases</t>
  </si>
  <si>
    <t>POR = 1.2%
CVD/POCA  = 0.1% (1.2% on companies only)</t>
  </si>
  <si>
    <t>* Registration?
* P&amp;Q
* EVS</t>
  </si>
  <si>
    <t>Additional Use cases (e.g. POR based on threshold, CVD based on partial mathc)</t>
  </si>
  <si>
    <t>Fuzzy match for eCollection / IDV / POR / CVD / POCA</t>
  </si>
  <si>
    <t>Incorporate Fuzzy model into our compare services</t>
  </si>
  <si>
    <t>eCollection = 0.5% (4.5% on companies only)</t>
  </si>
  <si>
    <t>P0 External only?</t>
  </si>
  <si>
    <t>Busienss type question</t>
  </si>
  <si>
    <t>In quick / on AS (multiple options)</t>
  </si>
  <si>
    <t>0.5% (5% on companies only)</t>
  </si>
  <si>
    <t>CVD/POCA collection in AS</t>
  </si>
  <si>
    <t>CVD/POCA  = 0.1% (1.2% on companies only)</t>
  </si>
  <si>
    <t>RT survey</t>
  </si>
  <si>
    <t>External only</t>
  </si>
  <si>
    <t>eCollection for LE</t>
  </si>
  <si>
    <t>0.05% (0.5% on companies only)</t>
  </si>
  <si>
    <t>* P&amp;Q
* EVS</t>
  </si>
  <si>
    <t>LE Sole owner collection in AS</t>
  </si>
  <si>
    <t>0.5% (3% on companies only)</t>
  </si>
  <si>
    <t>Google Address API</t>
  </si>
  <si>
    <t>Setup + auto complete behavior</t>
  </si>
  <si>
    <t>Support IDV and POR for Partners??</t>
  </si>
  <si>
    <t>Support IDV for IL??</t>
  </si>
  <si>
    <t>Communications</t>
  </si>
  <si>
    <t>Requirements submission / Churn-retention</t>
  </si>
  <si>
    <t>Support draft mode</t>
  </si>
  <si>
    <t>chnage the point of submission/ status?</t>
  </si>
  <si>
    <t>Entity model - add company</t>
  </si>
  <si>
    <t>KYC re-use</t>
  </si>
  <si>
    <t>Segmentation re-design</t>
  </si>
  <si>
    <t>OCR extraction implementation</t>
  </si>
  <si>
    <t>OCR extraction implementation in reg. instead of FDC</t>
  </si>
  <si>
    <t>CVD download from vendor</t>
  </si>
  <si>
    <t>based on leadscroe, in some cases, we can pay to download CVD for the client</t>
  </si>
  <si>
    <t>Support doc. upload draft mode</t>
  </si>
  <si>
    <t>India CLM Flow</t>
  </si>
  <si>
    <t>Help build CLM India flow</t>
  </si>
  <si>
    <t>CVR</t>
  </si>
  <si>
    <t>Accounts approved</t>
  </si>
  <si>
    <t>[Paste License team calculation]</t>
  </si>
  <si>
    <t>India</t>
  </si>
  <si>
    <t>1. develop unique UI
2. WF configurations
3. IPCN configurations
4. new requirements (doc collection)</t>
  </si>
  <si>
    <t>License Infra team
Reg team
Production services
Translations team
DU team
P&amp;Q team</t>
  </si>
  <si>
    <t>Unclear requirements [04/06/26] when Q3 is around the corner and due date is July</t>
  </si>
  <si>
    <t>Documents expiration date configuration per country</t>
  </si>
  <si>
    <t>AU license demands we have an expiration logic of 3 months instead of 6 months we have globally</t>
  </si>
  <si>
    <t>100% Compliance</t>
  </si>
  <si>
    <t>?</t>
  </si>
  <si>
    <t>Australia</t>
  </si>
  <si>
    <t>1. Create a dynamic UI for expiration date per license/country/requirement type id</t>
  </si>
  <si>
    <t>New Selfie Infra</t>
  </si>
  <si>
    <t>Support building a new visual identity collection and veriification infrustructure that will enable onboarding new vendors</t>
  </si>
  <si>
    <t>[Paste DU calculation]</t>
  </si>
  <si>
    <t>CLM</t>
  </si>
  <si>
    <t>Support Entity Model [Person]</t>
  </si>
  <si>
    <t>Reduce friction for exisiting payoneer customers that want to open multiple accounts using the same personal (entities)</t>
  </si>
  <si>
    <t>Adoption</t>
  </si>
  <si>
    <t>20% TICPS addoption of add company</t>
  </si>
  <si>
    <t>Companies</t>
  </si>
  <si>
    <t>Legal Entity team
P&amp;Q team</t>
  </si>
  <si>
    <t>RT OCR POR</t>
  </si>
  <si>
    <t>Continue rolling out the feature to additional countries
+
RT OCR in account set up
+
Adding "state" field for US and CA use case and adjusting the prompts
+
Migration to new LLM model</t>
  </si>
  <si>
    <t>1.5% Req APR</t>
  </si>
  <si>
    <t>Prompt management - Langfuse migration
Adding new field "state" to the UI, prompts and DCM
Migration to new LLM model</t>
  </si>
  <si>
    <t>RT OCR CVD</t>
  </si>
  <si>
    <t>Intorduce RT OCR to CVD requirement</t>
  </si>
  <si>
    <t>Tier 1&amp;2 countries; companies</t>
  </si>
  <si>
    <t>1. Going back functionality (same as POR)
2. Change form - add field
3. Change prompts
4. Behaviors &amp; Valdiations</t>
  </si>
  <si>
    <t>KYC Ops resources
Reg team</t>
  </si>
  <si>
    <t>EDD LOB post account set up verification</t>
  </si>
  <si>
    <t>Deploy experiment</t>
  </si>
  <si>
    <t>2% CVR</t>
  </si>
  <si>
    <t>CLM EDD</t>
  </si>
  <si>
    <t>Expand new POR page UI for KR, Turkey and Ukraine</t>
  </si>
  <si>
    <t>If the new POR page will work - we will need to some adjsutments for adapting the page for KR TR and UA</t>
  </si>
  <si>
    <t>Tech debt</t>
  </si>
  <si>
    <t>We need to think of a scalable solution</t>
  </si>
  <si>
    <t>Real Time Actions Latencey</t>
  </si>
  <si>
    <t>Work with DU team to reduce real time actions latency</t>
  </si>
  <si>
    <t>submitted all docs</t>
  </si>
  <si>
    <t>2% overall submission rate uplift</t>
  </si>
  <si>
    <t>RTC for POCA experiment</t>
  </si>
  <si>
    <t>Release RTC POCA experiment</t>
  </si>
  <si>
    <t>6% requirement approved/submitted</t>
  </si>
  <si>
    <t>Criteria Accuracy</t>
  </si>
  <si>
    <t>Improve criteria checks accuracy by using LLM</t>
  </si>
  <si>
    <t>X% req auto approval uplift</t>
  </si>
  <si>
    <t>RT OCR POCA</t>
  </si>
  <si>
    <t>Intorduce RT OCR to POCA requirement</t>
  </si>
  <si>
    <t>New CVD and POCA requirement page UI</t>
  </si>
  <si>
    <t>Assuming the new POR page design will work, we will want to run 2 new experiments implementing the new design for other requirements such as CVD and POCA</t>
  </si>
  <si>
    <t>1% Req APR</t>
  </si>
  <si>
    <t>Draft Mode</t>
  </si>
  <si>
    <t>Allow users to go back through the flow and change details/info/documents as they wish</t>
  </si>
  <si>
    <t>China CLM</t>
  </si>
  <si>
    <t>New Entity for Cards (KYC for employee)</t>
  </si>
  <si>
    <t xml:space="preserve">Create new entity for Cards business flow. Employee entity should be similar to other LE KYC </t>
  </si>
  <si>
    <t>FDC Documentation</t>
  </si>
  <si>
    <t>Invest in expanding and refreshing the FDC documentation</t>
  </si>
  <si>
    <t>Data Collection Manager</t>
  </si>
  <si>
    <t>RT OCR BAV</t>
  </si>
  <si>
    <t>Intorduce RT OCR to BAV requirement</t>
  </si>
  <si>
    <t>All</t>
  </si>
  <si>
    <t>RT OCR POR LE</t>
  </si>
  <si>
    <t>Intorduce RT OCR to POR LE requirement</t>
  </si>
  <si>
    <t>Use CVD as POCA</t>
  </si>
  <si>
    <t>Reduce friction by using CVD to approve POCA</t>
  </si>
  <si>
    <t># of monthly users that POCA is the remaining open requirement</t>
  </si>
  <si>
    <t>RTC &amp; RTQ for Held ID</t>
  </si>
  <si>
    <t>Run an experiment for RTQ and RTC for Held ID</t>
  </si>
  <si>
    <t>Document reuse</t>
  </si>
  <si>
    <t>Search for affiliated accounts and for reusing documents</t>
  </si>
  <si>
    <t>POR localization</t>
  </si>
  <si>
    <t>Continue localization efforts for Tier 1&amp; 2 countries</t>
  </si>
  <si>
    <t>New RFI Center</t>
  </si>
  <si>
    <t>Build a whole new RFI center for all relevant RFI business flows to improve inlife document collection CX</t>
  </si>
  <si>
    <t>New FDC Configuration Manager Tool</t>
  </si>
  <si>
    <t>RT OCR BO feedback loop</t>
  </si>
  <si>
    <t>Utilize BO for RT OCR regression</t>
  </si>
  <si>
    <t>BO</t>
  </si>
  <si>
    <t>Password Protected</t>
  </si>
  <si>
    <t>Collect and decrypt password protected PDFs uploaded by users using Adobe API</t>
  </si>
  <si>
    <t>KYC Group</t>
  </si>
  <si>
    <t>Agentic document collection</t>
  </si>
  <si>
    <t>DU metric</t>
  </si>
  <si>
    <t>AB test/rollout/silent</t>
  </si>
  <si>
    <t>Selfie vendor global alternative to au10tix</t>
  </si>
  <si>
    <t>DU services and flows to support multiple selfie vendors (Persona, Asian selfie vendor, Sumsub, AiPrise) without being locked to a single provider. This is foundational enablement aligned with the non-China vendor POC work - the selected path should still meet vendor KPIs (verdict rate, true positive, true negative), while conversion impact will need to be measured after rollout.
Q3 intent: Reduce dependency on Au10tix for selfie flows and unlock faster vendor onboarding. 
Prepares KYC for new vendors (Persona / Asian Selfie vendor / Sumsub / AiPrise) and simplified requirements handling logic.</t>
  </si>
  <si>
    <t>Decouple biometric verification from Au10tix by enhancing selfie verification infrastructure: ID + selfie verification logic, retry logic, and simplified requirements handling.</t>
  </si>
  <si>
    <t>KYC completion</t>
  </si>
  <si>
    <t>Verdict rate, TP/TN</t>
  </si>
  <si>
    <t>Increase ID verdict rate</t>
  </si>
  <si>
    <t>FDC/BO/InRule/Qualification</t>
  </si>
  <si>
    <t>Yes as AB test</t>
  </si>
  <si>
    <t xml:space="preserve">India - person via vendor
</t>
  </si>
  <si>
    <t>Infrastructure and configurations so customers in India CLM can complete all document collection - including support for new vendor HV, video KYC, files retrieval, vendor data retrieval normalization and save, review and reopens including data in cloud</t>
  </si>
  <si>
    <t>India license CLM</t>
  </si>
  <si>
    <t>Enablement</t>
  </si>
  <si>
    <t>Reduce review time</t>
  </si>
  <si>
    <t>Growth / Automation</t>
  </si>
  <si>
    <t>Problem: Legacy state machines and delay defaults in different DU services slow down review process of documents and IDs
Goal: reduce review time for documents, ID and selfie verification by x%</t>
  </si>
  <si>
    <t xml:space="preserve">Shortening review process speeds verification flows: reduce time to account approval and FFT, and manual can work on them faser if needed and reduce ORN wait time, </t>
  </si>
  <si>
    <t>modernization</t>
  </si>
  <si>
    <t>POR enrich when no country on Doc or from Google</t>
  </si>
  <si>
    <t xml:space="preserve">Problem: missing country on POR forces manual review (or false reopen), wrong country on POR documents drives false mismatch, hurting verdict rate and automation coverage.
Develop POR/Poca document address country enrichment to infer country when it is missing from the uploaded document or when Google Address Validation does not return a reliable country signal.
Strong infer signals: Explicit country field in address
Postal code format uniquely mapping to country
City + state/province combination (high-confidence mapping)
Issuer identity:
Tax authority name unqie to a country (e.g., IRS, HMRC)
Utility provider mapped to country
Document template recognition (layout / language / branding)
</t>
  </si>
  <si>
    <t>Documents with address don't always have country</t>
  </si>
  <si>
    <t>+5% auto approved POR</t>
  </si>
  <si>
    <t>15% of all PORs have no country, assuming we can solve 1/3</t>
  </si>
  <si>
    <t>Silent offline check</t>
  </si>
  <si>
    <t>Address validation - alternative solutions to Google</t>
  </si>
  <si>
    <t xml:space="preserve">
The scope is alternative validation services to partially or completly replace Google for address validation POR and Poca generating false partial match.
Considering these as alternatives:  Loqate,Melissa</t>
  </si>
  <si>
    <t>Google address validation shows false results in validation status and localization output.</t>
  </si>
  <si>
    <t>Verdict rate</t>
  </si>
  <si>
    <t>18.2% of all PORs are partial address validation, assuming we can replace address validation in specific countries with another solution</t>
  </si>
  <si>
    <t>New vendor implementation - documents</t>
  </si>
  <si>
    <t>Integrate a new document‑verification vendor (AiPrise) into the document orchestrator DPC and DAVS for POR, CVD and Poca docs and additional documents using an AI agent that does new vendor implementation. 
Includes full integration, apply actions and flows, enable review ,enabling A/B rollout for performance monitoring.
*SumSub?
*support vendor limits such as format, size, page limit - TBD</t>
  </si>
  <si>
    <t>Increase vendor stack. Reduce dependency on a single provider, improve local verdict rate and accuracy, and increase automation. 
Supports CLM’s strategy to validate documents with higher true‑positive/true‑negative accuracy and reduce manual review volumes</t>
  </si>
  <si>
    <t xml:space="preserve">Increase document verdict rate </t>
  </si>
  <si>
    <t>None</t>
  </si>
  <si>
    <t>Au10tix Selfie flow device AB test</t>
  </si>
  <si>
    <t>Design and run an A/B test on Au10tix selfie flows web (not mobile web) comparing device-optimized experiences, with a strong hypothesis toward mobile-only completion.
Test as an AB: Compare current desktop+mobile flow vs. directing all users to complete selfie on mobile. Measure selfie start rate, selfie completion rate, and downstream CLM conversion.</t>
  </si>
  <si>
    <t xml:space="preserve">Data rationale: ~15% of users currently complete selfie on desktop with likely worse outcomes. Mobile completion runs ~83% vs. desktop ~54%, suggesting desktop is a conversion leak.
</t>
  </si>
  <si>
    <t>+5% auto approved Selfie</t>
  </si>
  <si>
    <t>Maya?</t>
  </si>
  <si>
    <t>Selfie Auto approval is 57% (au10tix monitor)
Selfie approval is 90% (documents dashboard)</t>
  </si>
  <si>
    <t>Resistant tier leveling</t>
  </si>
  <si>
    <t>Pass our customer tier as a parameter in Resistant.AI API requests so fraud and authenticity checks can be calibrated by account tier in Payoneer.
Context: Payoneer tiers 0–1 represent the most profitable / valuable accounts by incorportation or billing country. 
Goal: More appropriate risk thresholds for high-value segments without over-blocking or under-protecting.</t>
  </si>
  <si>
    <t xml:space="preserve"> Support risk thresholds for different customers groups, such as more tolerant for CLM and more strict for eBay.
</t>
  </si>
  <si>
    <t>TP/TN</t>
  </si>
  <si>
    <t>reduce 
false approval
false reject</t>
  </si>
  <si>
    <t>Automate more documents: Poca, bank doc, Held ID</t>
  </si>
  <si>
    <t xml:space="preserve">Introduce automated decisioning for additional document types - Poca documents as first priority
Extend vendor + DRS automation coverage so more document types and countries receive automated approve/reject decisions, improving compliance throughput and reducing manual backlog.
later we'll need to handle bank documents globally, Held ID
</t>
  </si>
  <si>
    <t>Increase company verdict rate</t>
  </si>
  <si>
    <t>Companies Verdict rate</t>
  </si>
  <si>
    <t>FDC for data elements</t>
  </si>
  <si>
    <t>rollout</t>
  </si>
  <si>
    <t>Data‑driven routing logic</t>
  </si>
  <si>
    <t>Upgrade DPC orchestration from static vendor priority (mainly used for fallbacks today) to dynamic, data-driven routing between vendors.
Routing inputs (initial): Rolling 30-day verdict rate; potential additions include lead score or true ICP lable, completion rate, true positive / true negative, and OCR accuracy. 
Cost is a recognized factor but deferred for now (cost can become dynamic as volume scales).</t>
  </si>
  <si>
    <t>As the vendor portfolio grows (Persona, Sumsub, AiPrise, existing vendors), a static priority list cannot optimize automation coverage. Smarter routing should send each document to the best-performing vendor for its context.</t>
  </si>
  <si>
    <t>increase verdict rate</t>
  </si>
  <si>
    <t>No reopen for high segments - manual only</t>
  </si>
  <si>
    <t xml:space="preserve">Block automatic “reopen” reviews for high-value segments and route all non-approved cases directly to manual review instead of looping through automated reopen cycles.
Current state: Segment-based handling exists for authenticity documents only. This scope extends this to all relevant actions - classification, extraction, and selfie checks (face compare, liveness) - for all KYC document and selfie flows.
Focus areas where no-reopen delivers the most value: documents, classification, and extraction (not every action may justify the change).
</t>
  </si>
  <si>
    <t xml:space="preserve">Validation before build (agreed with Tally  and Elad/ Ops): Analyze ~3 months of historical high-segment cases that received a re-open; send representative samples to ops and assess whether agents would have reached a different decision. This quantifies impact before committing full development.
</t>
  </si>
  <si>
    <t>FDC?</t>
  </si>
  <si>
    <t>Splitting this into two: non selfie, and selfie reviews</t>
  </si>
  <si>
    <t>Align high value customer in DU</t>
  </si>
  <si>
    <t>High segment is considered for segment 6 and above, while business recently decisded to update this to:
seg 7
Or
Managed
Or
Tier 1 or 2 company incorporation country
Or
Lead score A + B</t>
  </si>
  <si>
    <t>Need Ops input on how many customers are not considered high value customers now and should be</t>
  </si>
  <si>
    <t>Sumsub Docs POC</t>
  </si>
  <si>
    <t>OCR, classification and fraud check including upgrade POC service to get documents and analyze any action response</t>
  </si>
  <si>
    <t>Increase vendor stack.</t>
  </si>
  <si>
    <t>Data requirements</t>
  </si>
  <si>
    <t>1. add data to auto logs, enrich events
2. add IDV events: timeout customer enters manually</t>
  </si>
  <si>
    <t>Align au10tix decision</t>
  </si>
  <si>
    <t>1. find similarity of decision making by Payoneer and au10tix
2. remove? rule engine document authenticity</t>
  </si>
  <si>
    <t>Full alignment on measurement, remove legacy decision</t>
  </si>
  <si>
    <t>Review explainer Ops</t>
  </si>
  <si>
    <t>Expand business review data in BO</t>
  </si>
  <si>
    <t>Vendor data is not fully accessible in old or new BO, forcing Ops to gain access to vendor platforms and see partial reviews data there</t>
  </si>
  <si>
    <t>NMM improvements</t>
  </si>
  <si>
    <t xml:space="preserve">Improve Name Match Match (NMM) accuracy by integrating the Sharki model? or another that also coveres transliteration steps, and refining comparison logic - with emphasis on reducing false-positive name mismatches.
Approach: Evaluate name mismatch solutions to improve precision on cross-script, transliteration, and formatting edge cases.
</t>
  </si>
  <si>
    <t>Name comparison currently produces ~18% false negatives on name match (incorrectly flagging valid name matches as mismatches), driving unnecessary manual review.</t>
  </si>
  <si>
    <t>TNTP</t>
  </si>
  <si>
    <t>18% reduce false NMM</t>
  </si>
  <si>
    <t>Au10tix new workflow</t>
  </si>
  <si>
    <t xml:space="preserve">Adopt Au10tix’s new selfie/document request workflow to unlock faster configuration and new product capabilities.
Capabilities unlocked: Digital ID collection (critical for Philippines and broader regulatory roadmap), event-driven flow hooks, quick OCR for ID as uploads, and improved camera-permissions handling on mobile.
Regulatory context: EU Digital ID requirements mean that by mid-2027 European customers must complete identity verification via digital ID methods. This is a global trend (not PH-only) with highest urgency in Europe; similar requirements exist in other countries. Implementing digital ID support can materially improve conversion and compliance in affected markets.
</t>
  </si>
  <si>
    <t>Unlocks Digital IDs PH - which Persona also support all types: https://philsys.gov.ph/the-national-id/</t>
  </si>
  <si>
    <t>Integrate with DVM/DCM compare service</t>
  </si>
  <si>
    <t>Consolidate all ID and document comparison criteria (~30 criteria) or gradually into a single DCM (Data Comparison Module) compare service, replacing fragmented logic across DRS, IDAS, and individual vendors. DCM needs to support all field types: Personal and business names, addresses, dates and identifiers including fuzzy in addition to exact match.</t>
  </si>
  <si>
    <t>Data elements and OCR fields are compared by multiple services with different logics and thresholds, creating inconsistencies - the same customer details may pass in one path and fail in another.
Goal: One unified customer-detail matching check used consistently across the verification stack, improving accuracy and reducing gaps between services.</t>
  </si>
  <si>
    <t>Qualification</t>
  </si>
  <si>
    <t>Submission charecteristics to RAI</t>
  </si>
  <si>
    <t xml:space="preserve">Pass customer country, onboarding/periodic and more data inputs as a submission characteristics parameter in Resistant.AI API requests so fraud/authenticity checks can be grouped by country for improved percision.
</t>
  </si>
  <si>
    <t>improve TP TN percision</t>
  </si>
  <si>
    <t>Remove ofac criteria for all: ID, POR</t>
  </si>
  <si>
    <t xml:space="preserve">Transfer ownership of OFAC indication criteria from Document Understanding (Document Review Service) to the Screening team (Hadar R).
Current state: OFAC-related criteria still live in DU’s document review path, but the logical owner is Screening. Screening has not yet fully assumed responsibility for this check.
Deliverable: Enrich the FDC event/API extraction v1/2 so Screening can process OFAC over the relevant documents (ID, POR) with the correct sub-requirement context, then remove OFAC criteria execution from DU’s scope.
</t>
  </si>
  <si>
    <t>Ownership moves to screening team</t>
  </si>
  <si>
    <t>Screening</t>
  </si>
  <si>
    <t>File Sanitization (meta defender upgrade)</t>
  </si>
  <si>
    <t>Data - Activity with ECS</t>
  </si>
  <si>
    <t>Serial fraud two way feedback loop with au10tix</t>
  </si>
  <si>
    <t>RT monitor</t>
  </si>
  <si>
    <t>India License Migration</t>
  </si>
  <si>
    <t>Supporting and executing the India License Migration</t>
  </si>
  <si>
    <t>Key result</t>
  </si>
  <si>
    <t>Initiative</t>
  </si>
  <si>
    <t>Exp impact</t>
  </si>
  <si>
    <t>Risk/ Challenges</t>
  </si>
  <si>
    <t>Dependencies on other domains</t>
  </si>
  <si>
    <t>Men weeks Effort</t>
  </si>
  <si>
    <t>Indirect tax - Nigeria (VAT)</t>
  </si>
  <si>
    <t>Customer tagging - Existing customers</t>
  </si>
  <si>
    <t>Sign document api refactoring</t>
  </si>
  <si>
    <t>VOP - Verification of payee</t>
  </si>
  <si>
    <t>SAR Inc</t>
  </si>
  <si>
    <t>SAR Hong Kong [High]</t>
  </si>
  <si>
    <t>Payment Tagging - Add new licenses</t>
  </si>
  <si>
    <t>Banking table automation (Kryba integration)</t>
  </si>
  <si>
    <t>Screening Adjasments</t>
  </si>
  <si>
    <t>Payment Tagging - Add new licenses [Q4]</t>
  </si>
  <si>
    <t>Screening Integration [Q4]</t>
  </si>
  <si>
    <t>Payment Tagging - money-in processor [Q4]</t>
  </si>
  <si>
    <t>SAR Australia [Medium]</t>
  </si>
  <si>
    <t>SAR Singapore [Medium]</t>
  </si>
  <si>
    <t>SAR Japan [Medium]</t>
  </si>
  <si>
    <t>SAR PEL [low]</t>
  </si>
  <si>
    <t>SAR UK [low]</t>
  </si>
  <si>
    <t>Item Name</t>
  </si>
  <si>
    <t>Item Description</t>
  </si>
  <si>
    <t>Indirect tax</t>
  </si>
  <si>
    <t>Customer tagging</t>
  </si>
  <si>
    <t>Payment Tagging</t>
  </si>
  <si>
    <t>SAR</t>
  </si>
  <si>
    <t>Refactoring the SAR logic and infrastructure to improve maintainability, scalability, and support for future requirements</t>
  </si>
  <si>
    <t>Import and update data from Kryba into on-prem table</t>
  </si>
  <si>
    <t xml:space="preserve">Adjastments from our side </t>
  </si>
  <si>
    <t>Screening to integrate with us</t>
  </si>
  <si>
    <t>Add infra support to enable the money-in processor tag</t>
  </si>
  <si>
    <t>Est MW</t>
  </si>
  <si>
    <t>Tech</t>
  </si>
  <si>
    <t>Dependencies</t>
  </si>
  <si>
    <t>More resources</t>
  </si>
  <si>
    <t>Open Issues</t>
  </si>
  <si>
    <t>* Product Discovery + Project Responsibility</t>
  </si>
  <si>
    <t>Profile &amp; Qualification</t>
  </si>
  <si>
    <t>* Product Discovery</t>
  </si>
  <si>
    <t>*Between 4MW to 8MW
* Product Discovery</t>
  </si>
  <si>
    <t>PS, BLS</t>
  </si>
  <si>
    <t>* Product responsibility</t>
  </si>
  <si>
    <t xml:space="preserve">* Product Discovery </t>
  </si>
  <si>
    <r>
      <t xml:space="preserve">* Product Discovery
</t>
    </r>
    <r>
      <rPr>
        <b/>
        <sz val="12"/>
        <color rgb="FF000000"/>
        <rFont val="Aptos Narrow"/>
        <scheme val="minor"/>
      </rPr>
      <t>* Finance to integrate with payment tagging (Israel, India)</t>
    </r>
  </si>
  <si>
    <t>Finance, Legal, Data</t>
  </si>
  <si>
    <t>SAR CM</t>
  </si>
  <si>
    <t>Customized system to collect indirect tax per country. Integrations with: 
* IPO
* BLS 
* Cards</t>
  </si>
  <si>
    <t>Extend tagging logic to support additional licenses without any infra changes
* Australia
* Singapore
* PEL</t>
  </si>
  <si>
    <t>Extend tagging logic to support additional licenses without any infra changes
* Japan
* PPSUK
* Inc
* Hong Kong</t>
  </si>
  <si>
    <t>Japan License - Pre-discovery and application</t>
  </si>
  <si>
    <t>N/A</t>
  </si>
  <si>
    <t>Supporting and executing the Japan License</t>
  </si>
  <si>
    <t xml:space="preserve">Today the Japan business runs on a hybrid setup: customers are onboarded to Payoneer Inc, but some services are contractually issued via PKK. This arrangement is no longer sustainable, and the business must move fully onto the PKK license. 
The PKK license today is a Type 2 license, which carries a ¥1M transaction/balance threshold — this would throttle business, create heavy churn, and generate refund operational risk. </t>
  </si>
  <si>
    <t>Customer tagging - T&amp;Cs</t>
  </si>
  <si>
    <t>Sign document</t>
  </si>
  <si>
    <t>Refactoring the Sign Document API to improve reliability, scalability, and alignment with current product and compliance needs.
It includes a review and update to T&amp;Cs assignment logic to ensure customers receive correct terms of use and, where applicable, licensed entity T&amp;Cs.
* The estimation is for quick solution (not the final).</t>
  </si>
  <si>
    <t>* Monitoring (2MW)
* 4step flow + AHA (update)- (2-4MW) 
* Migration (4-6MW)
* Consumers' Discovery Integration (2MW) + Profiles integration
* Transition between licenses (Q4?)</t>
  </si>
  <si>
    <t xml:space="preserve">Assumption - data exists and we know how to get it </t>
  </si>
  <si>
    <t>Full integration will be after financial reports will be changed to look at the new payments tagging</t>
  </si>
  <si>
    <t>SAR refactoring [Q4]</t>
  </si>
  <si>
    <t>* Insert infra nugets into sign document
* Upgrade to .net8
* The refactoring to the logic itself is not part of this task</t>
  </si>
  <si>
    <t>Logic of tagging:
Sender is PEL or UK license profile  AND Receiver bank country is PEL/UK or SEPA</t>
  </si>
  <si>
    <t>The task is not fully defined yet.
* Sign Document adjustments (2MW)
* Facade API - New service (5MW)
* Integration with BVCS (3MW)
* Parameter to check status (1MW)
* (2MW)
* Consent UI widget (4MW)</t>
  </si>
  <si>
    <t>https://payoneerinc-my.sharepoint.com/:x:/r/personal/danielgr_payoneer_com/_layouts/15/Doc.aspx?sourcedoc=%7BD15F69E1-5071-4C0F-8B9D-2CB81CFEFE67%7D&amp;file=VoP%20-%20domain%20work%20plan.xlsx&amp;action=default&amp;mobileredirect=true&amp;wdExp=TEAMS-TREATMENT&amp;web=1&amp;TeamsCID=17497155-8bbb-41bc-99f0-4130cecbbacc&amp;isSPOFile=1&amp;ovuser=decee90c-ce03-461e-8c21-dd538e181c75%2Cnogamos%40payoneer.com&amp;clickparams=eyJBcHBOYW1lIjoiVGVhbXMtRGVza3RvcCIsIkFwcFZlcnNpb24iOiI1MC8yNjA1MTQxNjcxMyIsIkhhc0ZlZGVyYXRlZFVzZXIiOmZhbHNlfQ%3D%3D</t>
  </si>
  <si>
    <t>1. CLM - IDV + selfie in new onboarding requires additional restrictions 
2. Data - safeguarding monitoring report
3. Screening and risk team - resources to screen migration population + clean alerts, before tagging. 
4. FDC - IL CDD + EDD workflows
5. InRule - 2 sprints for after E2E 
6. QA - E2E testing
7. Registration team + e-sign (Maya B) - beneficiary declaration adjustments
8. Restriction manager - 1-2 sprints for closure of non-migrating</t>
  </si>
  <si>
    <t>1. FDC + Document understanding - enabling docs expiry date of 3 months for utility bills
2. FDC + qualification - creating new context for trust companies documentation (Trust deed, trust ABN). 
3. Qualifications and profiles - connecting migration tool to Braze
4. QA - E2E testing</t>
  </si>
  <si>
    <t xml:space="preserve">Quebec </t>
  </si>
  <si>
    <t xml:space="preserve">Supporting Quebec </t>
  </si>
  <si>
    <t>OB Optimization</t>
  </si>
  <si>
    <t>Due to potential business opprotunities in Quebec est. at 2.8M first year rev, we  would like to obtain a license to serve Quebec and adhere to Quebec's specific regulations</t>
  </si>
  <si>
    <t>Detailed here
https://payoneerinc.sharepoint.com/:x:/s/Product/IQAicxsOr5ziTLieW7EL-jSrAeBLz5nXGSr2xPQ7nW-_x6w?e=PON2Gd</t>
  </si>
  <si>
    <t>Full discovery is required to map all affected teams</t>
  </si>
  <si>
    <t>Migration</t>
  </si>
  <si>
    <t>Localized Onbboarding</t>
  </si>
  <si>
    <t>Updates in Quick, KYB, LE, IDV, CKYC + MCA integration</t>
  </si>
  <si>
    <t>Increase # of TICP - CVR for companies</t>
  </si>
  <si>
    <t>India companies approval</t>
  </si>
  <si>
    <t>yes</t>
  </si>
  <si>
    <t>Delegated OB</t>
  </si>
  <si>
    <t>Comply with regulation + Customers retention</t>
  </si>
  <si>
    <t>Improve OB TAT for customers</t>
  </si>
  <si>
    <t>Utilising CKYCR in place of VKYC</t>
  </si>
  <si>
    <t>India reg and unreg approval</t>
  </si>
  <si>
    <t>Create a 3 phase OB process - CSP, Payoneer,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</si>
</sst>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
  </numFmts>
  <fonts count="33" x14ac:knownFonts="1">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2"/>
      <color theme="1"/>
      <name val="Aptos Narrow"/>
      <family val="2"/>
      <scheme val="minor"/>
    </font>
    <font>
      <sz val="11"/>
      <color theme="0"/>
      <name val="Aptos Narrow"/>
      <family val="2"/>
      <scheme val="minor"/>
    </font>
    <font>
      <b/>
      <sz val="10"/>
      <color theme="1"/>
      <name val="Aptos Display"/>
      <family val="2"/>
    </font>
    <font>
      <b/>
      <sz val="11"/>
      <color theme="1"/>
      <name val="Aptos Display"/>
      <family val="2"/>
    </font>
    <font>
      <sz val="11"/>
      <color theme="1"/>
      <name val="Aptos Display"/>
      <family val="2"/>
    </font>
    <font>
      <b/>
      <sz val="12"/>
      <color theme="1"/>
      <name val="Aptos Display"/>
      <family val="2"/>
    </font>
    <font>
      <sz val="11"/>
      <color theme="1"/>
      <name val="Aptos Narrow"/>
      <family val="2"/>
      <scheme val="minor"/>
    </font>
    <font>
      <sz val="10"/>
      <color theme="1"/>
      <name val="Aptos Display"/>
      <family val="2"/>
    </font>
    <font>
      <b/>
      <sz val="11"/>
      <color rgb="FF000000"/>
      <name val="Aptos Display"/>
      <family val="2"/>
    </font>
    <font>
      <sz val="12"/>
      <color theme="1"/>
      <name val="Aptos Display"/>
      <family val="2"/>
    </font>
    <font>
      <b/>
      <sz val="10"/>
      <color rgb="FF000000"/>
      <name val="Aptos Display"/>
      <family val="2"/>
    </font>
    <font>
      <sz val="10"/>
      <color theme="1"/>
      <name val="Aptos Display"/>
    </font>
    <font>
      <sz val="11"/>
      <color theme="1"/>
      <name val="Aptos Display"/>
    </font>
    <font>
      <sz val="12"/>
      <color theme="1"/>
      <name val="Aptos Display"/>
    </font>
    <font>
      <b/>
      <sz val="11"/>
      <color rgb="FF000000"/>
      <name val="Aptos Display"/>
      <family val="2"/>
      <scheme val="major"/>
    </font>
    <font>
      <b/>
      <i/>
      <sz val="11"/>
      <color theme="1"/>
      <name val="Aptos Narrow"/>
      <family val="2"/>
      <scheme val="minor"/>
    </font>
    <font>
      <u/>
      <sz val="12"/>
      <color theme="10"/>
      <name val="Aptos Narrow"/>
      <family val="2"/>
      <scheme val="minor"/>
    </font>
    <font>
      <b/>
      <sz val="11"/>
      <color rgb="FF000000"/>
      <name val="Aptos Display"/>
      <scheme val="major"/>
    </font>
    <font>
      <sz val="11"/>
      <color rgb="FF000000"/>
      <name val="Aptos Narrow"/>
      <family val="2"/>
      <scheme val="minor"/>
    </font>
    <font>
      <strike/>
      <sz val="11"/>
      <color theme="1"/>
      <name val="Aptos Narrow"/>
      <family val="2"/>
      <scheme val="minor"/>
    </font>
    <font>
      <b/>
      <sz val="12"/>
      <color rgb="FF000000"/>
      <name val="Aptos Display"/>
      <scheme val="major"/>
    </font>
    <font>
      <u/>
      <sz val="11"/>
      <color theme="10"/>
      <name val="Aptos Narrow"/>
      <family val="2"/>
      <scheme val="minor"/>
    </font>
    <font>
      <sz val="11"/>
      <color rgb="FF000000"/>
      <name val="Calibri"/>
    </font>
    <font>
      <b/>
      <sz val="11"/>
      <color theme="1"/>
      <name val="Calibri"/>
    </font>
    <font>
      <b/>
      <sz val="12"/>
      <color rgb="FF000000"/>
      <name val="Aptos Narrow"/>
      <scheme val="minor"/>
    </font>
    <font>
      <sz val="12"/>
      <color rgb="FF000000"/>
      <name val="Calibri"/>
    </font>
    <font>
      <sz val="12"/>
      <color theme="1" tint="0.499984740745262"/>
      <name val="Aptos Narrow"/>
      <family val="2"/>
      <scheme val="minor"/>
    </font>
    <font>
      <sz val="11"/>
      <color theme="1" tint="0.499984740745262"/>
      <name val="Calibri"/>
    </font>
  </fonts>
  <fills count="14">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theme="4"/>
      </patternFill>
    </fill>
    <fill>
      <patternFill patternType="solid">
        <fgColor theme="7" tint="0.79998168889431442"/>
        <bgColor indexed="64"/>
      </patternFill>
    </fill>
    <fill>
      <patternFill patternType="solid">
        <fgColor rgb="FFFFFAD2"/>
        <bgColor indexed="64"/>
      </patternFill>
    </fill>
    <fill>
      <patternFill patternType="solid">
        <fgColor theme="9" tint="0.59999389629810485"/>
        <bgColor indexed="64"/>
      </patternFill>
    </fill>
    <fill>
      <patternFill patternType="solid">
        <fgColor theme="2"/>
        <bgColor indexed="64"/>
      </patternFill>
    </fill>
    <fill>
      <patternFill patternType="solid">
        <fgColor rgb="FFFFDA6B"/>
        <bgColor indexed="64"/>
      </patternFill>
    </fill>
    <fill>
      <patternFill patternType="solid">
        <fgColor theme="5" tint="0.39997558519241921"/>
        <bgColor indexed="64"/>
      </patternFill>
    </fill>
    <fill>
      <patternFill patternType="solid">
        <fgColor rgb="FFFFC000"/>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medium">
        <color theme="0" tint="-0.14996795556505021"/>
      </top>
      <bottom style="medium">
        <color theme="0" tint="-0.14996795556505021"/>
      </bottom>
      <diagonal/>
    </border>
    <border>
      <left/>
      <right/>
      <top/>
      <bottom style="thin">
        <color theme="4" tint="0.59996337778862885"/>
      </bottom>
      <diagonal/>
    </border>
    <border>
      <left/>
      <right/>
      <top style="thin">
        <color theme="5" tint="0.59996337778862885"/>
      </top>
      <bottom style="thin">
        <color theme="5"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style="medium">
        <color rgb="FF000000"/>
      </left>
      <right style="thin">
        <color rgb="FF000000"/>
      </right>
      <top style="medium">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diagonal/>
    </border>
    <border>
      <left/>
      <right/>
      <top style="medium">
        <color rgb="FF000000"/>
      </top>
      <bottom style="medium">
        <color rgb="FF000000"/>
      </bottom>
      <diagonal/>
    </border>
    <border>
      <left style="thin">
        <color rgb="FF000000"/>
      </left>
      <right/>
      <top/>
      <bottom style="thin">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thin">
        <color theme="8" tint="0.59996337778862885"/>
      </top>
      <bottom style="medium">
        <color theme="4"/>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CCCCCC"/>
      </left>
      <right style="thin">
        <color rgb="FFCCCCCC"/>
      </right>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style="thin">
        <color indexed="64"/>
      </left>
      <right style="thin">
        <color indexed="64"/>
      </right>
      <top/>
      <bottom style="thin">
        <color indexed="64"/>
      </bottom>
      <diagonal/>
    </border>
  </borders>
  <cellStyleXfs count="6">
    <xf numFmtId="0" fontId="0" fillId="0" borderId="0"/>
    <xf numFmtId="0" fontId="4" fillId="0" borderId="0"/>
    <xf numFmtId="0" fontId="6" fillId="0" borderId="0"/>
    <xf numFmtId="0" fontId="11" fillId="0" borderId="11" applyFill="0">
      <alignment horizontal="center" vertical="center"/>
    </xf>
    <xf numFmtId="0" fontId="11" fillId="0" borderId="11" applyFill="0">
      <alignment horizontal="left" vertical="center" indent="2"/>
    </xf>
    <xf numFmtId="0" fontId="21" fillId="0" borderId="0" applyNumberFormat="0" applyFill="0" applyBorder="0" applyAlignment="0" applyProtection="0"/>
  </cellStyleXfs>
  <cellXfs count="210">
    <xf numFmtId="0" fontId="0" fillId="0" borderId="0" xfId="0"/>
    <xf numFmtId="0" fontId="5" fillId="0" borderId="0" xfId="0" applyFont="1"/>
    <xf numFmtId="0" fontId="0" fillId="0" borderId="0" xfId="0" applyAlignment="1">
      <alignment horizontal="center" vertical="center"/>
    </xf>
    <xf numFmtId="0" fontId="0" fillId="0" borderId="0" xfId="0" applyAlignment="1">
      <alignment wrapText="1"/>
    </xf>
    <xf numFmtId="0" fontId="0" fillId="0" borderId="0" xfId="0" applyAlignment="1">
      <alignment vertical="center" wrapText="1"/>
    </xf>
    <xf numFmtId="164" fontId="8" fillId="0" borderId="8" xfId="1" applyNumberFormat="1" applyFont="1" applyBorder="1" applyAlignment="1">
      <alignment horizontal="center" vertical="center"/>
    </xf>
    <xf numFmtId="0" fontId="9" fillId="0" borderId="0" xfId="0" applyFont="1"/>
    <xf numFmtId="1" fontId="9" fillId="0" borderId="10" xfId="1" applyNumberFormat="1" applyFont="1" applyBorder="1" applyAlignment="1">
      <alignment horizontal="center" vertical="center"/>
    </xf>
    <xf numFmtId="0" fontId="13" fillId="0" borderId="16" xfId="0" applyFont="1" applyBorder="1" applyAlignment="1">
      <alignment wrapText="1"/>
    </xf>
    <xf numFmtId="0" fontId="9" fillId="0" borderId="7" xfId="1" applyFont="1" applyBorder="1" applyAlignment="1">
      <alignment horizontal="center" vertical="center"/>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9" fillId="0" borderId="1" xfId="1" applyFont="1" applyBorder="1" applyAlignment="1">
      <alignment horizontal="center" vertical="center"/>
    </xf>
    <xf numFmtId="0" fontId="8" fillId="0" borderId="1" xfId="0" applyFont="1" applyBorder="1" applyAlignment="1">
      <alignment horizontal="center" vertical="center"/>
    </xf>
    <xf numFmtId="0" fontId="9" fillId="5" borderId="0" xfId="0" applyFont="1" applyFill="1"/>
    <xf numFmtId="1" fontId="8" fillId="0" borderId="16" xfId="1" applyNumberFormat="1" applyFont="1" applyBorder="1" applyAlignment="1">
      <alignment horizontal="center" vertical="center"/>
    </xf>
    <xf numFmtId="1" fontId="8" fillId="0" borderId="19" xfId="1" applyNumberFormat="1" applyFont="1" applyBorder="1" applyAlignment="1">
      <alignment horizontal="center" vertical="center"/>
    </xf>
    <xf numFmtId="1" fontId="8" fillId="0" borderId="20" xfId="1" applyNumberFormat="1" applyFont="1" applyBorder="1" applyAlignment="1">
      <alignment horizontal="center" vertical="center"/>
    </xf>
    <xf numFmtId="0" fontId="14" fillId="9" borderId="14" xfId="3" applyFont="1" applyFill="1" applyBorder="1" applyAlignment="1">
      <alignment vertical="center"/>
    </xf>
    <xf numFmtId="0" fontId="14" fillId="3" borderId="12" xfId="3" applyFont="1" applyFill="1" applyBorder="1" applyAlignment="1">
      <alignment vertical="center"/>
    </xf>
    <xf numFmtId="0" fontId="14" fillId="2" borderId="13" xfId="3" applyFont="1" applyFill="1" applyBorder="1" applyAlignment="1">
      <alignment vertical="center"/>
    </xf>
    <xf numFmtId="0" fontId="14" fillId="7" borderId="12" xfId="3" applyFont="1" applyFill="1" applyBorder="1" applyAlignment="1">
      <alignment vertical="center"/>
    </xf>
    <xf numFmtId="0" fontId="14" fillId="8" borderId="15" xfId="3" applyFont="1" applyFill="1" applyBorder="1" applyAlignment="1">
      <alignment vertical="center"/>
    </xf>
    <xf numFmtId="1" fontId="9" fillId="0" borderId="3" xfId="1" applyNumberFormat="1" applyFont="1" applyBorder="1" applyAlignment="1">
      <alignment horizontal="center" vertical="center"/>
    </xf>
    <xf numFmtId="0" fontId="12" fillId="8" borderId="1" xfId="3" applyFont="1" applyFill="1" applyBorder="1" applyAlignment="1">
      <alignment vertical="center"/>
    </xf>
    <xf numFmtId="1" fontId="17" fillId="0" borderId="10" xfId="1" applyNumberFormat="1" applyFont="1" applyBorder="1" applyAlignment="1">
      <alignment horizontal="center" vertical="center"/>
    </xf>
    <xf numFmtId="1" fontId="17" fillId="0" borderId="3" xfId="1" applyNumberFormat="1" applyFont="1" applyBorder="1" applyAlignment="1">
      <alignment horizontal="center" vertical="center"/>
    </xf>
    <xf numFmtId="1" fontId="17" fillId="0" borderId="23" xfId="1" applyNumberFormat="1" applyFont="1" applyBorder="1" applyAlignment="1">
      <alignment horizontal="center" vertical="center"/>
    </xf>
    <xf numFmtId="1" fontId="17" fillId="0" borderId="21" xfId="1" applyNumberFormat="1" applyFont="1" applyBorder="1" applyAlignment="1">
      <alignment horizontal="center" vertical="center"/>
    </xf>
    <xf numFmtId="0" fontId="9" fillId="11" borderId="1" xfId="3" applyFont="1" applyFill="1" applyBorder="1" applyAlignment="1">
      <alignment vertical="center"/>
    </xf>
    <xf numFmtId="0" fontId="12" fillId="8" borderId="1" xfId="4" applyFont="1" applyFill="1" applyBorder="1" applyAlignment="1">
      <alignment horizontal="center" vertical="center" wrapText="1"/>
    </xf>
    <xf numFmtId="0" fontId="9" fillId="5" borderId="0" xfId="0" applyFont="1" applyFill="1" applyAlignment="1">
      <alignment horizontal="center" wrapText="1"/>
    </xf>
    <xf numFmtId="0" fontId="0" fillId="0" borderId="0" xfId="0" applyAlignment="1">
      <alignment horizontal="center"/>
    </xf>
    <xf numFmtId="1" fontId="9" fillId="0" borderId="28" xfId="1" applyNumberFormat="1" applyFont="1" applyBorder="1" applyAlignment="1">
      <alignment horizontal="center" vertical="center"/>
    </xf>
    <xf numFmtId="1" fontId="9" fillId="0" borderId="7" xfId="1" applyNumberFormat="1" applyFont="1" applyBorder="1" applyAlignment="1">
      <alignment horizontal="center" vertical="center"/>
    </xf>
    <xf numFmtId="1" fontId="9" fillId="0" borderId="26" xfId="1" applyNumberFormat="1" applyFont="1" applyBorder="1" applyAlignment="1">
      <alignment horizontal="center" vertical="center"/>
    </xf>
    <xf numFmtId="1" fontId="9" fillId="0" borderId="29" xfId="1" applyNumberFormat="1" applyFont="1" applyBorder="1" applyAlignment="1">
      <alignment horizontal="center" vertical="center"/>
    </xf>
    <xf numFmtId="0" fontId="9" fillId="5" borderId="0" xfId="0" applyFont="1" applyFill="1" applyAlignment="1">
      <alignment horizontal="center" vertical="center"/>
    </xf>
    <xf numFmtId="0" fontId="9" fillId="5" borderId="0" xfId="1" applyFont="1" applyFill="1" applyAlignment="1">
      <alignment horizontal="center" vertical="center"/>
    </xf>
    <xf numFmtId="0" fontId="12" fillId="5" borderId="0" xfId="1" applyFont="1" applyFill="1" applyAlignment="1">
      <alignment horizontal="center" vertical="center"/>
    </xf>
    <xf numFmtId="164" fontId="8" fillId="0" borderId="7" xfId="1" applyNumberFormat="1" applyFont="1" applyBorder="1" applyAlignment="1">
      <alignment horizontal="center" vertical="center"/>
    </xf>
    <xf numFmtId="164" fontId="8" fillId="0" borderId="28" xfId="1" applyNumberFormat="1" applyFont="1" applyBorder="1" applyAlignment="1">
      <alignment horizontal="center" vertical="center"/>
    </xf>
    <xf numFmtId="1" fontId="17" fillId="0" borderId="7" xfId="1" applyNumberFormat="1" applyFont="1" applyBorder="1" applyAlignment="1">
      <alignment horizontal="center" vertical="center"/>
    </xf>
    <xf numFmtId="1" fontId="17" fillId="0" borderId="26" xfId="1" applyNumberFormat="1" applyFont="1" applyBorder="1" applyAlignment="1">
      <alignment horizontal="center" vertical="center"/>
    </xf>
    <xf numFmtId="0" fontId="9" fillId="0" borderId="3" xfId="0" applyFont="1" applyBorder="1" applyAlignment="1">
      <alignment vertical="center"/>
    </xf>
    <xf numFmtId="0" fontId="9" fillId="5" borderId="32" xfId="0" applyFont="1" applyFill="1" applyBorder="1" applyAlignment="1">
      <alignment horizontal="center" vertical="center" wrapText="1"/>
    </xf>
    <xf numFmtId="0" fontId="9" fillId="0" borderId="20" xfId="1" applyFont="1" applyBorder="1" applyAlignment="1">
      <alignment horizontal="center" vertical="center"/>
    </xf>
    <xf numFmtId="0" fontId="9" fillId="0" borderId="30" xfId="1" applyFont="1" applyBorder="1" applyAlignment="1">
      <alignment horizontal="center" vertical="center"/>
    </xf>
    <xf numFmtId="10" fontId="9" fillId="5" borderId="20" xfId="0" applyNumberFormat="1" applyFont="1" applyFill="1" applyBorder="1" applyAlignment="1">
      <alignment horizontal="center" vertical="center"/>
    </xf>
    <xf numFmtId="0" fontId="8" fillId="0" borderId="32" xfId="1" applyFont="1" applyBorder="1" applyAlignment="1">
      <alignment horizontal="center" vertical="center"/>
    </xf>
    <xf numFmtId="0" fontId="9" fillId="5" borderId="30" xfId="0" applyFont="1" applyFill="1" applyBorder="1" applyAlignment="1">
      <alignment horizontal="center" vertical="center" wrapText="1"/>
    </xf>
    <xf numFmtId="0" fontId="18" fillId="12" borderId="4" xfId="3" applyFont="1" applyFill="1" applyBorder="1" applyAlignment="1">
      <alignment horizontal="left" vertical="center" wrapText="1"/>
    </xf>
    <xf numFmtId="0" fontId="16" fillId="11" borderId="33" xfId="3" applyFont="1" applyFill="1" applyBorder="1" applyAlignment="1">
      <alignment horizontal="left" vertical="center"/>
    </xf>
    <xf numFmtId="0" fontId="12" fillId="11" borderId="2" xfId="4" applyFont="1" applyFill="1" applyBorder="1" applyAlignment="1">
      <alignment horizontal="center" vertical="center" wrapText="1"/>
    </xf>
    <xf numFmtId="0" fontId="15" fillId="0" borderId="16" xfId="0" applyFont="1" applyBorder="1" applyAlignment="1">
      <alignment horizontal="center" vertical="center" wrapText="1"/>
    </xf>
    <xf numFmtId="0" fontId="13" fillId="0" borderId="22" xfId="0" applyFont="1" applyBorder="1" applyAlignment="1">
      <alignment horizontal="left" vertical="center" wrapText="1"/>
    </xf>
    <xf numFmtId="0" fontId="10" fillId="10" borderId="19" xfId="3" applyFont="1" applyFill="1" applyBorder="1">
      <alignment horizontal="center" vertical="center"/>
    </xf>
    <xf numFmtId="0" fontId="10" fillId="10" borderId="22" xfId="3" applyFont="1" applyFill="1" applyBorder="1" applyAlignment="1">
      <alignment vertical="center"/>
    </xf>
    <xf numFmtId="0" fontId="10" fillId="10" borderId="24" xfId="3" applyFont="1" applyFill="1" applyBorder="1" applyAlignment="1">
      <alignment vertical="center"/>
    </xf>
    <xf numFmtId="0" fontId="12" fillId="8" borderId="6" xfId="4" applyFont="1" applyFill="1" applyBorder="1" applyAlignment="1">
      <alignment horizontal="center" vertical="center" wrapText="1"/>
    </xf>
    <xf numFmtId="0" fontId="12" fillId="8" borderId="6" xfId="3" applyFont="1" applyFill="1" applyBorder="1" applyAlignment="1">
      <alignment vertical="center"/>
    </xf>
    <xf numFmtId="0" fontId="9" fillId="11" borderId="2" xfId="3" applyFont="1" applyFill="1" applyBorder="1" applyAlignment="1">
      <alignment vertical="center"/>
    </xf>
    <xf numFmtId="0" fontId="4" fillId="0" borderId="0" xfId="0" applyFont="1" applyAlignment="1">
      <alignment horizontal="center"/>
    </xf>
    <xf numFmtId="0" fontId="4" fillId="0" borderId="1" xfId="0" applyFont="1" applyBorder="1" applyAlignment="1">
      <alignment horizontal="center" vertical="center"/>
    </xf>
    <xf numFmtId="0" fontId="19" fillId="5" borderId="27" xfId="0" applyFont="1" applyFill="1" applyBorder="1" applyAlignment="1">
      <alignment horizontal="center" vertical="center" wrapText="1"/>
    </xf>
    <xf numFmtId="0" fontId="19" fillId="5" borderId="27" xfId="0" applyFont="1" applyFill="1" applyBorder="1" applyAlignment="1">
      <alignment horizontal="center" vertical="center"/>
    </xf>
    <xf numFmtId="0" fontId="4" fillId="0" borderId="6"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center" wrapText="1"/>
    </xf>
    <xf numFmtId="0" fontId="4" fillId="0" borderId="23"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vertical="center" wrapText="1"/>
    </xf>
    <xf numFmtId="0" fontId="4" fillId="0" borderId="2" xfId="0" applyFont="1" applyBorder="1" applyAlignment="1">
      <alignment horizontal="center"/>
    </xf>
    <xf numFmtId="0" fontId="4" fillId="0" borderId="1" xfId="0" applyFont="1" applyBorder="1" applyAlignment="1">
      <alignment horizontal="center"/>
    </xf>
    <xf numFmtId="0" fontId="4" fillId="4" borderId="2" xfId="0" applyFont="1" applyFill="1" applyBorder="1" applyAlignment="1">
      <alignment horizontal="center"/>
    </xf>
    <xf numFmtId="0" fontId="20" fillId="0" borderId="2" xfId="0" applyFont="1" applyBorder="1" applyAlignment="1">
      <alignment horizontal="center"/>
    </xf>
    <xf numFmtId="0" fontId="20" fillId="0" borderId="1" xfId="0" applyFont="1" applyBorder="1" applyAlignment="1">
      <alignment horizontal="center"/>
    </xf>
    <xf numFmtId="0" fontId="20" fillId="0" borderId="0" xfId="0" applyFont="1" applyAlignment="1">
      <alignment horizontal="center"/>
    </xf>
    <xf numFmtId="0" fontId="4" fillId="0" borderId="6" xfId="0" applyFont="1" applyBorder="1" applyAlignment="1">
      <alignment vertical="center" wrapText="1"/>
    </xf>
    <xf numFmtId="0" fontId="4" fillId="0" borderId="6" xfId="0" applyFont="1" applyBorder="1" applyAlignment="1">
      <alignment horizontal="center" wrapText="1"/>
    </xf>
    <xf numFmtId="0" fontId="4" fillId="0" borderId="6" xfId="0" applyFont="1" applyBorder="1" applyAlignment="1">
      <alignment horizontal="center" vertical="center" wrapText="1"/>
    </xf>
    <xf numFmtId="0" fontId="4" fillId="0" borderId="1" xfId="0" applyFont="1" applyBorder="1" applyAlignment="1">
      <alignment horizontal="center" vertical="center" wrapText="1"/>
    </xf>
    <xf numFmtId="0" fontId="21" fillId="0" borderId="6" xfId="5" applyBorder="1"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2" fillId="5" borderId="27" xfId="0" applyFont="1" applyFill="1" applyBorder="1" applyAlignment="1">
      <alignment horizontal="center" vertical="center" wrapText="1"/>
    </xf>
    <xf numFmtId="0" fontId="22" fillId="5" borderId="27" xfId="0" applyFont="1" applyFill="1"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vertical="center" wrapText="1"/>
    </xf>
    <xf numFmtId="0" fontId="2" fillId="0" borderId="6" xfId="0" applyFont="1" applyBorder="1" applyAlignment="1">
      <alignment horizontal="center" wrapText="1"/>
    </xf>
    <xf numFmtId="0" fontId="2" fillId="0" borderId="6" xfId="0" applyFont="1" applyBorder="1" applyAlignment="1">
      <alignment horizontal="center" vertical="center" wrapText="1"/>
    </xf>
    <xf numFmtId="0" fontId="23" fillId="0" borderId="6" xfId="0" applyFont="1" applyBorder="1" applyAlignment="1">
      <alignment vertical="center" wrapText="1"/>
    </xf>
    <xf numFmtId="0" fontId="2" fillId="0" borderId="23" xfId="0" applyFont="1" applyBorder="1" applyAlignment="1">
      <alignment horizontal="center" vertical="center"/>
    </xf>
    <xf numFmtId="0" fontId="24" fillId="0" borderId="6"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wrapText="1"/>
    </xf>
    <xf numFmtId="0" fontId="2" fillId="0" borderId="3" xfId="0" applyFont="1" applyBorder="1" applyAlignment="1">
      <alignment horizontal="center" vertical="center"/>
    </xf>
    <xf numFmtId="0" fontId="24" fillId="0" borderId="1" xfId="0" applyFont="1" applyBorder="1" applyAlignment="1">
      <alignment vertical="center" wrapText="1"/>
    </xf>
    <xf numFmtId="0" fontId="2" fillId="0" borderId="34" xfId="0" applyFont="1" applyBorder="1" applyAlignment="1">
      <alignment horizontal="center" vertical="center"/>
    </xf>
    <xf numFmtId="0" fontId="2" fillId="0" borderId="21" xfId="0" applyFont="1" applyBorder="1" applyAlignment="1">
      <alignment horizontal="center" vertical="center"/>
    </xf>
    <xf numFmtId="0" fontId="2" fillId="0" borderId="35" xfId="0" applyFont="1" applyBorder="1" applyAlignment="1">
      <alignment horizontal="center" vertical="center" wrapText="1"/>
    </xf>
    <xf numFmtId="0" fontId="2" fillId="0" borderId="4" xfId="0" applyFont="1" applyBorder="1" applyAlignment="1">
      <alignment vertical="center" wrapText="1"/>
    </xf>
    <xf numFmtId="0" fontId="2" fillId="4" borderId="2" xfId="0" applyFont="1" applyFill="1" applyBorder="1" applyAlignment="1">
      <alignment horizontal="center"/>
    </xf>
    <xf numFmtId="0" fontId="2" fillId="0" borderId="0" xfId="0" applyFont="1" applyAlignment="1">
      <alignment horizontal="center"/>
    </xf>
    <xf numFmtId="0" fontId="2" fillId="0" borderId="0" xfId="0" applyFont="1" applyAlignment="1">
      <alignment horizontal="center" wrapText="1"/>
    </xf>
    <xf numFmtId="0" fontId="2" fillId="0" borderId="2" xfId="0" applyFont="1" applyBorder="1" applyAlignment="1">
      <alignment horizontal="center"/>
    </xf>
    <xf numFmtId="0" fontId="2" fillId="0" borderId="1" xfId="0" applyFont="1" applyBorder="1" applyAlignment="1">
      <alignment horizontal="center"/>
    </xf>
    <xf numFmtId="0" fontId="0" fillId="0" borderId="0" xfId="0" applyAlignment="1">
      <alignment vertical="top"/>
    </xf>
    <xf numFmtId="0" fontId="2" fillId="0" borderId="0" xfId="0" applyFont="1"/>
    <xf numFmtId="0" fontId="25" fillId="5" borderId="27" xfId="0" applyFont="1" applyFill="1" applyBorder="1" applyAlignment="1">
      <alignment horizontal="center" vertical="top" wrapText="1"/>
    </xf>
    <xf numFmtId="0" fontId="25" fillId="5" borderId="27" xfId="0" applyFont="1" applyFill="1" applyBorder="1" applyAlignment="1">
      <alignment horizontal="center" vertical="top"/>
    </xf>
    <xf numFmtId="0" fontId="0" fillId="0" borderId="6" xfId="0" applyBorder="1" applyAlignment="1">
      <alignment horizontal="center" vertical="top"/>
    </xf>
    <xf numFmtId="0" fontId="0" fillId="0" borderId="1" xfId="0" applyBorder="1" applyAlignment="1">
      <alignment vertical="top" wrapText="1"/>
    </xf>
    <xf numFmtId="0" fontId="0" fillId="0" borderId="6" xfId="0" applyBorder="1" applyAlignment="1">
      <alignment horizontal="center" vertical="top" wrapText="1"/>
    </xf>
    <xf numFmtId="0" fontId="0" fillId="0" borderId="6" xfId="0"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23" xfId="0" applyBorder="1" applyAlignment="1">
      <alignment horizontal="center" vertical="top"/>
    </xf>
    <xf numFmtId="0" fontId="0" fillId="0" borderId="1" xfId="0" applyBorder="1" applyAlignment="1">
      <alignment vertical="top"/>
    </xf>
    <xf numFmtId="0" fontId="21" fillId="0" borderId="1" xfId="5" applyBorder="1" applyAlignment="1">
      <alignment vertical="top"/>
    </xf>
    <xf numFmtId="0" fontId="0" fillId="0" borderId="1" xfId="0" applyBorder="1" applyAlignment="1">
      <alignment vertical="center" wrapText="1"/>
    </xf>
    <xf numFmtId="0" fontId="0" fillId="5" borderId="6" xfId="0" applyFill="1" applyBorder="1" applyAlignment="1">
      <alignment horizontal="center" vertical="top"/>
    </xf>
    <xf numFmtId="0" fontId="0" fillId="5" borderId="1" xfId="0" applyFill="1" applyBorder="1" applyAlignment="1">
      <alignment vertical="top" wrapText="1"/>
    </xf>
    <xf numFmtId="0" fontId="0" fillId="5" borderId="6" xfId="0" applyFill="1" applyBorder="1" applyAlignment="1">
      <alignment horizontal="center" vertical="top" wrapText="1"/>
    </xf>
    <xf numFmtId="0" fontId="0" fillId="0" borderId="3" xfId="0" applyBorder="1" applyAlignment="1">
      <alignment horizontal="center" vertical="top"/>
    </xf>
    <xf numFmtId="165" fontId="0" fillId="13" borderId="6" xfId="0" applyNumberFormat="1" applyFill="1" applyBorder="1" applyAlignment="1">
      <alignment horizontal="center" vertical="top"/>
    </xf>
    <xf numFmtId="0" fontId="21" fillId="0" borderId="6" xfId="5" applyBorder="1" applyAlignment="1">
      <alignment vertical="top"/>
    </xf>
    <xf numFmtId="0" fontId="0" fillId="13" borderId="1" xfId="0" applyFill="1" applyBorder="1" applyAlignment="1">
      <alignment horizontal="center" vertical="top" wrapText="1"/>
    </xf>
    <xf numFmtId="0" fontId="0" fillId="0" borderId="2" xfId="0" applyBorder="1" applyAlignment="1">
      <alignment horizontal="center" vertical="top"/>
    </xf>
    <xf numFmtId="0" fontId="0" fillId="0" borderId="4" xfId="0" applyBorder="1" applyAlignment="1">
      <alignment vertical="top" wrapText="1"/>
    </xf>
    <xf numFmtId="10" fontId="0" fillId="0" borderId="1" xfId="0" applyNumberFormat="1" applyBorder="1" applyAlignment="1">
      <alignment horizontal="center" vertical="top" wrapText="1"/>
    </xf>
    <xf numFmtId="0" fontId="0" fillId="0" borderId="0" xfId="0" applyAlignment="1">
      <alignment vertical="top" wrapText="1"/>
    </xf>
    <xf numFmtId="0" fontId="2" fillId="0" borderId="2" xfId="0" applyFont="1" applyBorder="1" applyAlignment="1">
      <alignment horizontal="center" vertical="center"/>
    </xf>
    <xf numFmtId="0" fontId="2" fillId="0" borderId="1" xfId="0" applyFont="1" applyBorder="1" applyAlignment="1">
      <alignment vertical="center"/>
    </xf>
    <xf numFmtId="0" fontId="0" fillId="0" borderId="6" xfId="0" applyBorder="1" applyAlignment="1">
      <alignment horizontal="center" vertical="center"/>
    </xf>
    <xf numFmtId="0" fontId="0" fillId="0" borderId="6" xfId="0" applyBorder="1" applyAlignment="1">
      <alignment horizontal="center" vertical="center" wrapText="1"/>
    </xf>
    <xf numFmtId="0" fontId="0" fillId="0" borderId="6"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wrapText="1"/>
    </xf>
    <xf numFmtId="0" fontId="0" fillId="0" borderId="3" xfId="0" applyBorder="1" applyAlignment="1">
      <alignment horizontal="center" vertical="center"/>
    </xf>
    <xf numFmtId="0" fontId="0" fillId="0" borderId="1" xfId="0" applyBorder="1" applyAlignment="1">
      <alignment vertical="center"/>
    </xf>
    <xf numFmtId="0" fontId="0" fillId="0" borderId="23" xfId="0" applyBorder="1" applyAlignment="1">
      <alignment horizontal="center" vertical="center"/>
    </xf>
    <xf numFmtId="0" fontId="2" fillId="4" borderId="1" xfId="0" applyFont="1" applyFill="1" applyBorder="1" applyAlignment="1">
      <alignment horizontal="center" vertical="center"/>
    </xf>
    <xf numFmtId="0" fontId="2" fillId="0" borderId="6" xfId="0" applyFont="1" applyBorder="1" applyAlignment="1">
      <alignment vertical="center"/>
    </xf>
    <xf numFmtId="0" fontId="2" fillId="0" borderId="6" xfId="0" applyFont="1" applyBorder="1" applyAlignment="1">
      <alignment horizontal="left" vertical="center"/>
    </xf>
    <xf numFmtId="0" fontId="2" fillId="0" borderId="6" xfId="0" applyFont="1" applyBorder="1" applyAlignment="1">
      <alignment horizontal="left" vertical="center" wrapText="1"/>
    </xf>
    <xf numFmtId="0" fontId="2" fillId="0" borderId="1" xfId="0" applyFont="1" applyBorder="1" applyAlignment="1">
      <alignment horizontal="left" vertical="center"/>
    </xf>
    <xf numFmtId="0" fontId="26" fillId="0" borderId="1" xfId="5" applyFont="1" applyBorder="1" applyAlignment="1">
      <alignment vertical="center"/>
    </xf>
    <xf numFmtId="0" fontId="21" fillId="0" borderId="1" xfId="5" applyBorder="1" applyAlignment="1">
      <alignment vertical="center"/>
    </xf>
    <xf numFmtId="0" fontId="22" fillId="4" borderId="27" xfId="0" applyFont="1" applyFill="1" applyBorder="1" applyAlignment="1">
      <alignment horizontal="center" vertical="center" wrapText="1"/>
    </xf>
    <xf numFmtId="0" fontId="23" fillId="0" borderId="1" xfId="0" applyFont="1" applyBorder="1" applyAlignment="1">
      <alignment vertical="center" wrapText="1"/>
    </xf>
    <xf numFmtId="0" fontId="27" fillId="0" borderId="36" xfId="0" applyFont="1" applyBorder="1" applyAlignment="1">
      <alignment wrapText="1"/>
    </xf>
    <xf numFmtId="0" fontId="22" fillId="0" borderId="27" xfId="0" applyFont="1" applyBorder="1" applyAlignment="1">
      <alignment horizontal="center" vertical="center" wrapText="1"/>
    </xf>
    <xf numFmtId="0" fontId="0" fillId="0" borderId="0" xfId="0" applyAlignment="1">
      <alignment horizontal="left" vertical="center"/>
    </xf>
    <xf numFmtId="0" fontId="28"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right" vertical="center" wrapText="1"/>
    </xf>
    <xf numFmtId="0" fontId="28" fillId="0" borderId="0" xfId="0" applyFont="1" applyAlignment="1">
      <alignment horizontal="left" vertical="center"/>
    </xf>
    <xf numFmtId="0" fontId="0" fillId="0" borderId="0" xfId="0" applyAlignment="1">
      <alignment horizontal="center" vertical="center" wrapText="1"/>
    </xf>
    <xf numFmtId="0" fontId="31" fillId="0" borderId="0" xfId="0" applyFont="1" applyAlignment="1">
      <alignment horizontal="left" vertical="center"/>
    </xf>
    <xf numFmtId="0" fontId="31" fillId="0" borderId="0" xfId="0" applyFont="1"/>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2" fillId="5" borderId="1" xfId="0" applyFont="1" applyFill="1" applyBorder="1" applyAlignment="1">
      <alignment horizontal="center" vertical="center" wrapText="1"/>
    </xf>
    <xf numFmtId="0" fontId="28"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27" fillId="0" borderId="1" xfId="0" applyFont="1" applyBorder="1" applyAlignment="1">
      <alignment horizontal="left" vertical="center" wrapText="1"/>
    </xf>
    <xf numFmtId="0" fontId="30" fillId="0" borderId="1" xfId="0" applyFont="1" applyBorder="1" applyAlignment="1">
      <alignment horizontal="left" vertical="center" wrapText="1"/>
    </xf>
    <xf numFmtId="0" fontId="31" fillId="0" borderId="1" xfId="0" applyFont="1" applyBorder="1" applyAlignment="1">
      <alignment horizontal="center" vertical="center"/>
    </xf>
    <xf numFmtId="0" fontId="31" fillId="0" borderId="1" xfId="0" applyFont="1" applyBorder="1" applyAlignment="1">
      <alignment horizontal="left" vertical="center"/>
    </xf>
    <xf numFmtId="0" fontId="32" fillId="0" borderId="1" xfId="0" applyFont="1" applyBorder="1" applyAlignment="1">
      <alignment horizontal="left" vertical="center" wrapText="1"/>
    </xf>
    <xf numFmtId="0" fontId="31" fillId="0" borderId="1" xfId="0" applyFont="1" applyBorder="1" applyAlignment="1">
      <alignment horizontal="center" vertical="center" wrapText="1"/>
    </xf>
    <xf numFmtId="0" fontId="31" fillId="0" borderId="1" xfId="0" applyFont="1" applyBorder="1" applyAlignment="1">
      <alignment horizontal="left" vertical="center" wrapText="1"/>
    </xf>
    <xf numFmtId="0" fontId="0" fillId="0" borderId="1" xfId="0" applyBorder="1"/>
    <xf numFmtId="0" fontId="21" fillId="0" borderId="0" xfId="5" applyAlignment="1">
      <alignment horizontal="left" vertical="center"/>
    </xf>
    <xf numFmtId="0" fontId="0" fillId="0" borderId="30" xfId="0" applyBorder="1" applyAlignment="1">
      <alignment horizontal="center"/>
    </xf>
    <xf numFmtId="0" fontId="0" fillId="0" borderId="31" xfId="0" applyBorder="1" applyAlignment="1">
      <alignment horizontal="center"/>
    </xf>
    <xf numFmtId="0" fontId="0" fillId="0" borderId="25" xfId="0" applyBorder="1" applyAlignment="1">
      <alignment horizontal="center"/>
    </xf>
    <xf numFmtId="0" fontId="8" fillId="0" borderId="26" xfId="1" applyFont="1" applyBorder="1" applyAlignment="1">
      <alignment horizontal="center" vertical="center"/>
    </xf>
    <xf numFmtId="0" fontId="8" fillId="0" borderId="29" xfId="1" applyFont="1" applyBorder="1" applyAlignment="1">
      <alignment horizontal="center" vertical="center"/>
    </xf>
    <xf numFmtId="0" fontId="7" fillId="6" borderId="1"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6" borderId="9"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28"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xf>
    <xf numFmtId="0" fontId="19" fillId="5" borderId="29" xfId="0" applyFont="1" applyFill="1" applyBorder="1" applyAlignment="1">
      <alignment horizontal="center" vertical="center"/>
    </xf>
    <xf numFmtId="0" fontId="2" fillId="0" borderId="3" xfId="0" applyFont="1" applyBorder="1" applyAlignment="1">
      <alignment vertical="center" wrapText="1"/>
    </xf>
    <xf numFmtId="0" fontId="4" fillId="0" borderId="3" xfId="0" applyFont="1" applyBorder="1" applyAlignment="1">
      <alignment vertical="center" wrapText="1"/>
    </xf>
    <xf numFmtId="0" fontId="0" fillId="0" borderId="0" xfId="0" applyBorder="1"/>
    <xf numFmtId="0" fontId="4" fillId="0" borderId="0" xfId="0" applyFont="1" applyBorder="1" applyAlignment="1">
      <alignment vertical="center" wrapText="1"/>
    </xf>
    <xf numFmtId="0" fontId="4" fillId="0" borderId="4" xfId="0" applyFont="1" applyBorder="1" applyAlignment="1">
      <alignment horizontal="center" vertical="center"/>
    </xf>
    <xf numFmtId="0" fontId="3" fillId="0" borderId="4" xfId="0" applyFont="1" applyBorder="1" applyAlignment="1">
      <alignment horizontal="center" vertical="center"/>
    </xf>
    <xf numFmtId="0" fontId="0" fillId="0" borderId="37" xfId="0" applyBorder="1"/>
    <xf numFmtId="0" fontId="4" fillId="0" borderId="38" xfId="0" applyFont="1" applyBorder="1" applyAlignment="1">
      <alignment vertical="center" wrapText="1"/>
    </xf>
    <xf numFmtId="0" fontId="19" fillId="5" borderId="37" xfId="0" applyFont="1" applyFill="1" applyBorder="1" applyAlignment="1">
      <alignment horizontal="center" vertical="center"/>
    </xf>
    <xf numFmtId="0" fontId="2" fillId="0" borderId="37" xfId="0" applyFont="1" applyBorder="1" applyAlignment="1">
      <alignment vertical="center" wrapText="1"/>
    </xf>
    <xf numFmtId="0" fontId="4" fillId="0" borderId="37" xfId="0" applyFont="1" applyBorder="1" applyAlignment="1">
      <alignment vertical="center" wrapText="1"/>
    </xf>
    <xf numFmtId="0" fontId="0" fillId="0" borderId="39" xfId="0" applyBorder="1"/>
    <xf numFmtId="0" fontId="3" fillId="0" borderId="4" xfId="0" applyFont="1" applyBorder="1" applyAlignment="1">
      <alignment horizontal="center" vertical="center" wrapText="1"/>
    </xf>
    <xf numFmtId="0" fontId="1" fillId="0" borderId="4" xfId="0" applyFont="1" applyBorder="1" applyAlignment="1">
      <alignment horizontal="center" vertical="center" wrapText="1"/>
    </xf>
  </cellXfs>
  <cellStyles count="6">
    <cellStyle name="Hyperlink" xfId="5" builtinId="8"/>
    <cellStyle name="Name" xfId="3" xr:uid="{CA5EC911-74D4-43A8-94DF-C8ADB61C1E1B}"/>
    <cellStyle name="Normal" xfId="0" builtinId="0"/>
    <cellStyle name="Normal 2" xfId="1" xr:uid="{C8B6AE03-5024-460D-8D9C-91872F3D18FE}"/>
    <cellStyle name="Task" xfId="4" xr:uid="{BAFE0B3A-89BC-4EC1-903E-D81F1580AF01}"/>
    <cellStyle name="zHiddenText" xfId="2" xr:uid="{755009E6-4678-4BE5-864E-68206BDF2586}"/>
  </cellStyles>
  <dxfs count="70">
    <dxf>
      <font>
        <b/>
        <i val="0"/>
        <color rgb="FFFFC000"/>
      </font>
    </dxf>
    <dxf>
      <font>
        <b/>
        <i val="0"/>
        <color rgb="FF00B050"/>
      </font>
    </dxf>
    <dxf>
      <font>
        <b/>
        <i val="0"/>
        <color rgb="FFFF0000"/>
      </font>
    </dxf>
    <dxf>
      <font>
        <b/>
        <i val="0"/>
        <color rgb="FF00B0F0"/>
      </font>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lor rgb="FF9C0006"/>
      </font>
    </dxf>
    <dxf>
      <font>
        <b/>
        <i val="0"/>
        <color rgb="FFFFC000"/>
      </font>
    </dxf>
    <dxf>
      <font>
        <b/>
        <i val="0"/>
        <color rgb="FF7030A0"/>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7"/>
      </font>
      <fill>
        <patternFill patternType="solid">
          <bgColor theme="7" tint="0.79998168889431442"/>
        </patternFill>
      </fill>
    </dxf>
    <dxf>
      <font>
        <color theme="8"/>
      </font>
      <fill>
        <patternFill patternType="solid">
          <bgColor theme="8" tint="0.79998168889431442"/>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lor rgb="FF9C0006"/>
      </font>
    </dxf>
    <dxf>
      <font>
        <b/>
        <i val="0"/>
        <color rgb="FFFFC000"/>
      </font>
    </dxf>
    <dxf>
      <font>
        <b/>
        <i val="0"/>
        <color rgb="FF7030A0"/>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7"/>
      </font>
      <fill>
        <patternFill patternType="solid">
          <bgColor theme="7" tint="0.79998168889431442"/>
        </patternFill>
      </fill>
    </dxf>
    <dxf>
      <font>
        <color theme="8"/>
      </font>
      <fill>
        <patternFill patternType="solid">
          <bgColor theme="8" tint="0.7999816888943144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lor rgb="FF9C0006"/>
      </font>
    </dxf>
    <dxf>
      <font>
        <b/>
        <i val="0"/>
        <color rgb="FFFFC000"/>
      </font>
    </dxf>
    <dxf>
      <font>
        <b/>
        <i val="0"/>
        <color rgb="FF7030A0"/>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7"/>
      </font>
      <fill>
        <patternFill patternType="solid">
          <bgColor theme="7" tint="0.79998168889431442"/>
        </patternFill>
      </fill>
    </dxf>
    <dxf>
      <font>
        <color theme="8"/>
      </font>
      <fill>
        <patternFill patternType="solid">
          <bgColor theme="8"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lor rgb="FF9C0006"/>
      </font>
    </dxf>
    <dxf>
      <font>
        <b/>
        <i val="0"/>
        <color rgb="FFFFC000"/>
      </font>
    </dxf>
    <dxf>
      <font>
        <b/>
        <i val="0"/>
        <color rgb="FF7030A0"/>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7"/>
      </font>
      <fill>
        <patternFill patternType="solid">
          <bgColor theme="7" tint="0.79998168889431442"/>
        </patternFill>
      </fill>
    </dxf>
    <dxf>
      <font>
        <color theme="8"/>
      </font>
      <fill>
        <patternFill patternType="solid">
          <bgColor theme="8" tint="0.79998168889431442"/>
        </patternFill>
      </fill>
    </dxf>
  </dxfs>
  <tableStyles count="0" defaultTableStyle="TableStyleMedium2" defaultPivotStyle="PivotStyleLight16"/>
  <colors>
    <mruColors>
      <color rgb="FFFFDA6B"/>
      <color rgb="FFFFFA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ocumenttasks/documenttask1.xml><?xml version="1.0" encoding="utf-8"?>
<Tasks xmlns="http://schemas.microsoft.com/office/tasks/2019/documenttasks">
  <Task id="{57583090-DE35-45D6-A118-D33E0CFA3C26}">
    <Anchor>
      <Comment id="{E14A2286-3F56-4C05-8558-78145C3B5848}"/>
    </Anchor>
    <History>
      <Event time="2026-06-14T02:05:55.48" id="{350F3DAD-FC52-478B-95E8-39B9BE9A5611}">
        <Attribution userId="S::tallybac@payoneer.com::0135a4b6-6411-4904-a7b7-7b6e98e582d4" userName="Tally Bachar" userProvider="AD"/>
        <Anchor>
          <Comment id="{E14A2286-3F56-4C05-8558-78145C3B5848}"/>
        </Anchor>
        <Create/>
      </Event>
      <Event time="2026-06-14T02:05:55.48" id="{E0A30330-D90E-47DA-8AD9-6C107AEB11C4}">
        <Attribution userId="S::tallybac@payoneer.com::0135a4b6-6411-4904-a7b7-7b6e98e582d4" userName="Tally Bachar" userProvider="AD"/>
        <Anchor>
          <Comment id="{E14A2286-3F56-4C05-8558-78145C3B5848}"/>
        </Anchor>
        <Assign userId="S::vladimirpi@payoneer.com::caa3ac50-6634-4946-8eec-6eaa3af9329f" userName="Vladimir Pimonov" userProvider="AD"/>
      </Event>
      <Event time="2026-06-14T02:05:55.48" id="{379B77D0-F986-4259-8DB1-E040618EF631}">
        <Attribution userId="S::tallybac@payoneer.com::0135a4b6-6411-4904-a7b7-7b6e98e582d4" userName="Tally Bachar" userProvider="AD"/>
        <Anchor>
          <Comment id="{E14A2286-3F56-4C05-8558-78145C3B5848}"/>
        </Anchor>
        <SetTitle title="@Vladimir Pimonov is it going to be a test?"/>
      </Event>
      <Event time="2026-06-14T09:05:48.29" id="{49AC86CB-4FD0-4161-95B0-03F9C60688A9}">
        <Attribution userId="S::vladimirpi@payoneer.com::caa3ac50-6634-4946-8eec-6eaa3af9329f" userName="Vladimir Pimonov" userProvider="AD"/>
        <Progress percentComplete="100"/>
      </Event>
    </History>
  </Task>
  <Task id="{EEF95DF9-2C8D-4D9A-98B8-AE4836517615}">
    <Anchor>
      <Comment id="{37FF7DB3-4582-4B02-8F76-A4CC6683AF32}"/>
    </Anchor>
    <History>
      <Event time="2026-06-14T02:05:25.29" id="{2E035B46-E8BF-482E-A63D-3EC228897627}">
        <Attribution userId="S::tallybac@payoneer.com::0135a4b6-6411-4904-a7b7-7b6e98e582d4" userName="Tally Bachar" userProvider="AD"/>
        <Anchor>
          <Comment id="{37FF7DB3-4582-4B02-8F76-A4CC6683AF32}"/>
        </Anchor>
        <Create/>
      </Event>
      <Event time="2026-06-14T02:05:25.29" id="{D14DA25D-A536-406B-B21E-0B5004AAAE32}">
        <Attribution userId="S::tallybac@payoneer.com::0135a4b6-6411-4904-a7b7-7b6e98e582d4" userName="Tally Bachar" userProvider="AD"/>
        <Anchor>
          <Comment id="{37FF7DB3-4582-4B02-8F76-A4CC6683AF32}"/>
        </Anchor>
        <Assign userId="S::vladimirpi@payoneer.com::caa3ac50-6634-4946-8eec-6eaa3af9329f" userName="Vladimir Pimonov" userProvider="AD"/>
      </Event>
      <Event time="2026-06-14T02:05:25.29" id="{547FCF39-78A3-4B93-AB85-EDC1B4782D17}">
        <Attribution userId="S::tallybac@payoneer.com::0135a4b6-6411-4904-a7b7-7b6e98e582d4" userName="Tally Bachar" userProvider="AD"/>
        <Anchor>
          <Comment id="{37FF7DB3-4582-4B02-8F76-A4CC6683AF32}"/>
        </Anchor>
        <SetTitle title="@Vladimir Pimonov is it going to be a test?"/>
      </Event>
      <Event time="2026-06-14T09:05:09.66" id="{317C4AB6-9E31-442E-BBBB-2F0451B18712}">
        <Attribution userId="S::vladimirpi@payoneer.com::caa3ac50-6634-4946-8eec-6eaa3af9329f" userName="Vladimir Pimonov" userProvider="AD"/>
        <Progress percentComplete="100"/>
      </Event>
    </History>
  </Task>
</Tasks>
</file>

<file path=xl/documenttasks/documenttask2.xml><?xml version="1.0" encoding="utf-8"?>
<Tasks xmlns="http://schemas.microsoft.com/office/tasks/2019/documenttasks">
  <Task id="{3B47E6B0-3249-4BEB-8F43-A80FE718B6FF}">
    <Anchor>
      <Comment id="{055B6EB3-2654-4C09-8954-EBAF65A98149}"/>
    </Anchor>
    <History>
      <Event time="2026-06-14T02:03:29.45" id="{D6CE688F-B852-4488-86F4-D6E0895EE0C9}">
        <Attribution userId="S::tallybac@payoneer.com::0135a4b6-6411-4904-a7b7-7b6e98e582d4" userName="Tally Bachar" userProvider="AD"/>
        <Anchor>
          <Comment id="{055B6EB3-2654-4C09-8954-EBAF65A98149}"/>
        </Anchor>
        <Create/>
      </Event>
      <Event time="2026-06-14T02:03:29.45" id="{C9BB8561-E580-43DA-BB73-28B3CB8D48F6}">
        <Attribution userId="S::tallybac@payoneer.com::0135a4b6-6411-4904-a7b7-7b6e98e582d4" userName="Tally Bachar" userProvider="AD"/>
        <Anchor>
          <Comment id="{055B6EB3-2654-4C09-8954-EBAF65A98149}"/>
        </Anchor>
        <Assign userId="S::mayaba@payoneer.com::7a5e1baf-ef97-406e-b859-93c3edaed773" userName="Maya Bar" userProvider="AD"/>
      </Event>
      <Event time="2026-06-14T02:03:29.45" id="{C7648AE9-EDE8-4DEC-AFAF-CDA7A84A8349}">
        <Attribution userId="S::tallybac@payoneer.com::0135a4b6-6411-4904-a7b7-7b6e98e582d4" userName="Tally Bachar" userProvider="AD"/>
        <Anchor>
          <Comment id="{055B6EB3-2654-4C09-8954-EBAF65A98149}"/>
        </Anchor>
        <SetTitle title="@Maya Bar me and Amit had a meeting about Sharki's fuzzy model and i dont think we can use it. Amit can elaborate"/>
      </Event>
      <Event time="2026-06-14T08:29:38.22" id="{54748DFC-B071-418F-B7E7-40654B3AE622}">
        <Attribution userId="S::mayaba@payoneer.com::7a5e1baf-ef97-406e-b859-93c3edaed773" userName="Maya Bar" userProvider="AD"/>
        <Progress percentComplete="100"/>
      </Event>
    </History>
  </Task>
</Tasks>
</file>

<file path=xl/drawings/drawing1.xml><?xml version="1.0" encoding="utf-8"?>
<xdr:wsDr xmlns:xdr="http://schemas.openxmlformats.org/drawingml/2006/spreadsheetDrawing" xmlns:a="http://schemas.openxmlformats.org/drawingml/2006/main">
  <xdr:twoCellAnchor>
    <xdr:from>
      <xdr:col>0</xdr:col>
      <xdr:colOff>19050</xdr:colOff>
      <xdr:row>6</xdr:row>
      <xdr:rowOff>0</xdr:rowOff>
    </xdr:from>
    <xdr:to>
      <xdr:col>16</xdr:col>
      <xdr:colOff>0</xdr:colOff>
      <xdr:row>6</xdr:row>
      <xdr:rowOff>0</xdr:rowOff>
    </xdr:to>
    <xdr:cxnSp macro="">
      <xdr:nvCxnSpPr>
        <xdr:cNvPr id="2" name="Straight Connector 1">
          <a:extLst>
            <a:ext uri="{FF2B5EF4-FFF2-40B4-BE49-F238E27FC236}">
              <a16:creationId xmlns:a16="http://schemas.microsoft.com/office/drawing/2014/main" id="{738F1098-0918-4C7C-8892-8C6BC913B0BB}"/>
            </a:ext>
          </a:extLst>
        </xdr:cNvPr>
        <xdr:cNvCxnSpPr>
          <a:cxnSpLocks/>
        </xdr:cNvCxnSpPr>
      </xdr:nvCxnSpPr>
      <xdr:spPr>
        <a:xfrm flipV="1">
          <a:off x="19050" y="1568450"/>
          <a:ext cx="23666450" cy="0"/>
        </a:xfrm>
        <a:prstGeom prst="line">
          <a:avLst/>
        </a:prstGeom>
        <a:ln>
          <a:solidFill>
            <a:srgbClr val="FF0000"/>
          </a:solidFill>
          <a:prstDash val="lgDashDotDot"/>
        </a:ln>
      </xdr:spPr>
      <xdr:style>
        <a:lnRef idx="2">
          <a:schemeClr val="accent5"/>
        </a:lnRef>
        <a:fillRef idx="0">
          <a:schemeClr val="accent5"/>
        </a:fillRef>
        <a:effectRef idx="1">
          <a:schemeClr val="accent5"/>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8</xdr:row>
      <xdr:rowOff>0</xdr:rowOff>
    </xdr:from>
    <xdr:to>
      <xdr:col>16</xdr:col>
      <xdr:colOff>0</xdr:colOff>
      <xdr:row>8</xdr:row>
      <xdr:rowOff>0</xdr:rowOff>
    </xdr:to>
    <xdr:cxnSp macro="">
      <xdr:nvCxnSpPr>
        <xdr:cNvPr id="2" name="Straight Connector 1">
          <a:extLst>
            <a:ext uri="{FF2B5EF4-FFF2-40B4-BE49-F238E27FC236}">
              <a16:creationId xmlns:a16="http://schemas.microsoft.com/office/drawing/2014/main" id="{18665AB1-F3CB-469A-AB90-3074CC0ED49C}"/>
            </a:ext>
          </a:extLst>
        </xdr:cNvPr>
        <xdr:cNvCxnSpPr>
          <a:cxnSpLocks/>
        </xdr:cNvCxnSpPr>
      </xdr:nvCxnSpPr>
      <xdr:spPr>
        <a:xfrm flipV="1">
          <a:off x="19050" y="1552575"/>
          <a:ext cx="23707725" cy="0"/>
        </a:xfrm>
        <a:prstGeom prst="line">
          <a:avLst/>
        </a:prstGeom>
        <a:ln>
          <a:solidFill>
            <a:srgbClr val="FF0000"/>
          </a:solidFill>
          <a:prstDash val="lgDashDotDot"/>
        </a:ln>
      </xdr:spPr>
      <xdr:style>
        <a:lnRef idx="2">
          <a:schemeClr val="accent5"/>
        </a:lnRef>
        <a:fillRef idx="0">
          <a:schemeClr val="accent5"/>
        </a:fillRef>
        <a:effectRef idx="1">
          <a:schemeClr val="accent5"/>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1352550</xdr:colOff>
      <xdr:row>0</xdr:row>
      <xdr:rowOff>0</xdr:rowOff>
    </xdr:to>
    <xdr:cxnSp macro="">
      <xdr:nvCxnSpPr>
        <xdr:cNvPr id="3" name="Straight Connector 1">
          <a:extLst>
            <a:ext uri="{FF2B5EF4-FFF2-40B4-BE49-F238E27FC236}">
              <a16:creationId xmlns:a16="http://schemas.microsoft.com/office/drawing/2014/main" id="{E85085D0-CB6F-46EA-9971-600ED4209F27}"/>
            </a:ext>
          </a:extLst>
        </xdr:cNvPr>
        <xdr:cNvCxnSpPr>
          <a:cxnSpLocks/>
        </xdr:cNvCxnSpPr>
      </xdr:nvCxnSpPr>
      <xdr:spPr>
        <a:xfrm flipV="1">
          <a:off x="0" y="0"/>
          <a:ext cx="26898600" cy="0"/>
        </a:xfrm>
        <a:prstGeom prst="line">
          <a:avLst/>
        </a:prstGeom>
        <a:ln>
          <a:solidFill>
            <a:srgbClr val="FF0000"/>
          </a:solidFill>
          <a:prstDash val="lgDashDotDot"/>
        </a:ln>
      </xdr:spPr>
      <xdr:style>
        <a:lnRef idx="2">
          <a:schemeClr val="accent5"/>
        </a:lnRef>
        <a:fillRef idx="0">
          <a:schemeClr val="accent5"/>
        </a:fillRef>
        <a:effectRef idx="1">
          <a:schemeClr val="accent5"/>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4094</xdr:rowOff>
    </xdr:from>
    <xdr:to>
      <xdr:col>14</xdr:col>
      <xdr:colOff>1349513</xdr:colOff>
      <xdr:row>0</xdr:row>
      <xdr:rowOff>4094</xdr:rowOff>
    </xdr:to>
    <xdr:cxnSp macro="">
      <xdr:nvCxnSpPr>
        <xdr:cNvPr id="3" name="Straight Connector 1">
          <a:extLst>
            <a:ext uri="{FF2B5EF4-FFF2-40B4-BE49-F238E27FC236}">
              <a16:creationId xmlns:a16="http://schemas.microsoft.com/office/drawing/2014/main" id="{33989E62-7D36-4C9E-A0C5-22DBBE3C7AA8}"/>
            </a:ext>
          </a:extLst>
        </xdr:cNvPr>
        <xdr:cNvCxnSpPr>
          <a:cxnSpLocks/>
        </xdr:cNvCxnSpPr>
      </xdr:nvCxnSpPr>
      <xdr:spPr>
        <a:xfrm flipV="1">
          <a:off x="0" y="4094"/>
          <a:ext cx="18980288" cy="0"/>
        </a:xfrm>
        <a:prstGeom prst="line">
          <a:avLst/>
        </a:prstGeom>
        <a:ln>
          <a:solidFill>
            <a:srgbClr val="FF0000"/>
          </a:solidFill>
          <a:prstDash val="lgDashDotDot"/>
        </a:ln>
      </xdr:spPr>
      <xdr:style>
        <a:lnRef idx="2">
          <a:schemeClr val="accent5"/>
        </a:lnRef>
        <a:fillRef idx="0">
          <a:schemeClr val="accent5"/>
        </a:fillRef>
        <a:effectRef idx="1">
          <a:schemeClr val="accent5"/>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948</xdr:rowOff>
    </xdr:from>
    <xdr:to>
      <xdr:col>14</xdr:col>
      <xdr:colOff>1340965</xdr:colOff>
      <xdr:row>0</xdr:row>
      <xdr:rowOff>948</xdr:rowOff>
    </xdr:to>
    <xdr:cxnSp macro="">
      <xdr:nvCxnSpPr>
        <xdr:cNvPr id="3" name="Straight Connector 1">
          <a:extLst>
            <a:ext uri="{FF2B5EF4-FFF2-40B4-BE49-F238E27FC236}">
              <a16:creationId xmlns:a16="http://schemas.microsoft.com/office/drawing/2014/main" id="{7211CC03-7C81-4165-B629-30341E3CA7BF}"/>
            </a:ext>
          </a:extLst>
        </xdr:cNvPr>
        <xdr:cNvCxnSpPr>
          <a:cxnSpLocks/>
        </xdr:cNvCxnSpPr>
      </xdr:nvCxnSpPr>
      <xdr:spPr>
        <a:xfrm flipV="1">
          <a:off x="0" y="948"/>
          <a:ext cx="22305490" cy="0"/>
        </a:xfrm>
        <a:prstGeom prst="line">
          <a:avLst/>
        </a:prstGeom>
        <a:ln>
          <a:solidFill>
            <a:srgbClr val="FF0000"/>
          </a:solidFill>
          <a:prstDash val="lgDashDotDot"/>
        </a:ln>
      </xdr:spPr>
      <xdr:style>
        <a:lnRef idx="2">
          <a:schemeClr val="accent5"/>
        </a:lnRef>
        <a:fillRef idx="0">
          <a:schemeClr val="accent5"/>
        </a:fillRef>
        <a:effectRef idx="1">
          <a:schemeClr val="accent5"/>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-302</xdr:rowOff>
    </xdr:from>
    <xdr:to>
      <xdr:col>15</xdr:col>
      <xdr:colOff>2522065</xdr:colOff>
      <xdr:row>0</xdr:row>
      <xdr:rowOff>-302</xdr:rowOff>
    </xdr:to>
    <xdr:cxnSp macro="">
      <xdr:nvCxnSpPr>
        <xdr:cNvPr id="3" name="Straight Connector 1">
          <a:extLst>
            <a:ext uri="{FF2B5EF4-FFF2-40B4-BE49-F238E27FC236}">
              <a16:creationId xmlns:a16="http://schemas.microsoft.com/office/drawing/2014/main" id="{9DFD9162-975D-4598-BD2D-632F1C2E61FA}"/>
            </a:ext>
          </a:extLst>
        </xdr:cNvPr>
        <xdr:cNvCxnSpPr>
          <a:cxnSpLocks/>
        </xdr:cNvCxnSpPr>
      </xdr:nvCxnSpPr>
      <xdr:spPr>
        <a:xfrm flipV="1">
          <a:off x="0" y="-302"/>
          <a:ext cx="22705540" cy="0"/>
        </a:xfrm>
        <a:prstGeom prst="line">
          <a:avLst/>
        </a:prstGeom>
        <a:ln>
          <a:solidFill>
            <a:srgbClr val="FF0000"/>
          </a:solidFill>
          <a:prstDash val="lgDashDotDot"/>
        </a:ln>
      </xdr:spPr>
      <xdr:style>
        <a:lnRef idx="2">
          <a:schemeClr val="accent5"/>
        </a:lnRef>
        <a:fillRef idx="0">
          <a:schemeClr val="accent5"/>
        </a:fillRef>
        <a:effectRef idx="1">
          <a:schemeClr val="accent5"/>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0</xdr:row>
      <xdr:rowOff>47625</xdr:rowOff>
    </xdr:from>
    <xdr:to>
      <xdr:col>3</xdr:col>
      <xdr:colOff>9525</xdr:colOff>
      <xdr:row>32</xdr:row>
      <xdr:rowOff>28575</xdr:rowOff>
    </xdr:to>
    <xdr:cxnSp macro="">
      <xdr:nvCxnSpPr>
        <xdr:cNvPr id="2" name="Straight Connector 1">
          <a:extLst>
            <a:ext uri="{FF2B5EF4-FFF2-40B4-BE49-F238E27FC236}">
              <a16:creationId xmlns:a16="http://schemas.microsoft.com/office/drawing/2014/main" id="{803B612D-BF7A-4C61-9DB4-2193D1888FB5}"/>
            </a:ext>
          </a:extLst>
        </xdr:cNvPr>
        <xdr:cNvCxnSpPr>
          <a:cxnSpLocks/>
        </xdr:cNvCxnSpPr>
      </xdr:nvCxnSpPr>
      <xdr:spPr>
        <a:xfrm>
          <a:off x="3371850" y="47625"/>
          <a:ext cx="9525" cy="6553200"/>
        </a:xfrm>
        <a:prstGeom prst="line">
          <a:avLst/>
        </a:prstGeom>
        <a:ln w="28575" cap="flat" cmpd="sng" algn="ctr">
          <a:solidFill>
            <a:schemeClr val="accent5"/>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6</xdr:row>
      <xdr:rowOff>0</xdr:rowOff>
    </xdr:from>
    <xdr:to>
      <xdr:col>15</xdr:col>
      <xdr:colOff>0</xdr:colOff>
      <xdr:row>6</xdr:row>
      <xdr:rowOff>0</xdr:rowOff>
    </xdr:to>
    <xdr:cxnSp macro="">
      <xdr:nvCxnSpPr>
        <xdr:cNvPr id="2" name="Straight Connector 1">
          <a:extLst>
            <a:ext uri="{FF2B5EF4-FFF2-40B4-BE49-F238E27FC236}">
              <a16:creationId xmlns:a16="http://schemas.microsoft.com/office/drawing/2014/main" id="{BA684713-D719-4479-8C92-2D84AE2601A7}"/>
            </a:ext>
          </a:extLst>
        </xdr:cNvPr>
        <xdr:cNvCxnSpPr>
          <a:cxnSpLocks/>
        </xdr:cNvCxnSpPr>
      </xdr:nvCxnSpPr>
      <xdr:spPr>
        <a:xfrm flipV="1">
          <a:off x="19050" y="1552575"/>
          <a:ext cx="21840825" cy="0"/>
        </a:xfrm>
        <a:prstGeom prst="line">
          <a:avLst/>
        </a:prstGeom>
        <a:ln>
          <a:solidFill>
            <a:srgbClr val="FF0000"/>
          </a:solidFill>
          <a:prstDash val="lgDashDotDot"/>
        </a:ln>
      </xdr:spPr>
      <xdr:style>
        <a:lnRef idx="2">
          <a:schemeClr val="accent5"/>
        </a:lnRef>
        <a:fillRef idx="0">
          <a:schemeClr val="accent5"/>
        </a:fillRef>
        <a:effectRef idx="1">
          <a:schemeClr val="accent5"/>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Maya Bar" id="{8D501CAE-D18B-491E-8D77-55CDB4CD8D01}" userId="mayaba@payoneer.com" providerId="PeoplePicker"/>
  <person displayName="Tally Bachar" id="{24860669-0F19-4F99-948B-B580774E2652}" userId="tallybac@payoneer.com" providerId="PeoplePicker"/>
  <person displayName="Vladimir Pimonov" id="{A10B21A8-A6A6-40AA-B52A-EDB76209A5EA}" userId="vladimirpi@payoneer.com" providerId="PeoplePicker"/>
  <person displayName="Tally Bachar" id="{FED967CD-A5D7-4DF9-8117-2CC3107894C5}" userId="S::tallybac@payoneer.com::0135a4b6-6411-4904-a7b7-7b6e98e582d4" providerId="AD"/>
  <person displayName="Vladimir Pimonov" id="{0C446FB6-B7A2-4722-907D-C4D07A697C05}" userId="S::vladimirpi@payoneer.com::caa3ac50-6634-4946-8eec-6eaa3af9329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6" dT="2026-06-14T02:05:25.48" personId="{FED967CD-A5D7-4DF9-8117-2CC3107894C5}" id="{37FF7DB3-4582-4B02-8F76-A4CC6683AF32}" done="1">
    <text xml:space="preserve">@Vladimir Pimonov is it going to be a test? </text>
    <mentions>
      <mention mentionpersonId="{A10B21A8-A6A6-40AA-B52A-EDB76209A5EA}" mentionId="{D007833E-7180-43E1-8220-F95EEF16C7D5}" startIndex="0" length="17"/>
    </mentions>
  </threadedComment>
  <threadedComment ref="B6" dT="2026-06-14T09:05:03.71" personId="{0C446FB6-B7A2-4722-907D-C4D07A697C05}" id="{ADFB2862-1C00-4704-80BB-044DA816C977}" parentId="{37FF7DB3-4582-4B02-8F76-A4CC6683AF32}">
    <text>@Tally we will A/B AiPrise vs other vendor, yes</text>
    <mentions>
      <mention mentionpersonId="{24860669-0F19-4F99-948B-B580774E2652}" mentionId="{665F54AE-2C53-493A-ACEC-747599FBB023}" startIndex="0" length="6"/>
    </mentions>
  </threadedComment>
  <threadedComment ref="B13" dT="2026-06-14T02:05:55.57" personId="{FED967CD-A5D7-4DF9-8117-2CC3107894C5}" id="{E14A2286-3F56-4C05-8558-78145C3B5848}" done="1">
    <text>@Vladimir Pimonov is it going to be a test?</text>
    <mentions>
      <mention mentionpersonId="{A10B21A8-A6A6-40AA-B52A-EDB76209A5EA}" mentionId="{28F037E9-97F3-4C58-A43E-00A76938DCC7}" startIndex="0" length="17"/>
    </mentions>
  </threadedComment>
  <threadedComment ref="B13" dT="2026-06-14T09:05:47.16" personId="{0C446FB6-B7A2-4722-907D-C4D07A697C05}" id="{4281C39D-5A46-42C0-B12A-5875A2636742}" parentId="{E14A2286-3F56-4C05-8558-78145C3B5848}">
    <text>no, we will run silently before rolling out
this only affects priority of provider</text>
  </threadedComment>
  <threadedComment ref="B13" dT="2026-06-14T14:21:19.67" personId="{FED967CD-A5D7-4DF9-8117-2CC3107894C5}" id="{004465D1-AA9E-4756-BCF5-00F3430F36D3}" parentId="{E14A2286-3F56-4C05-8558-78145C3B5848}">
    <text>do you want to also measure the impact of this feature?
if so, we need a test</text>
  </threadedComment>
</ThreadedComments>
</file>

<file path=xl/threadedComments/threadedComment2.xml><?xml version="1.0" encoding="utf-8"?>
<ThreadedComments xmlns="http://schemas.microsoft.com/office/spreadsheetml/2018/threadedcomments" xmlns:x="http://schemas.openxmlformats.org/spreadsheetml/2006/main">
  <threadedComment ref="D11" dT="2026-06-14T02:03:29.54" personId="{FED967CD-A5D7-4DF9-8117-2CC3107894C5}" id="{055B6EB3-2654-4C09-8954-EBAF65A98149}" done="1">
    <text>@Maya Bar me and Amit had a meeting about Sharki's fuzzy model and i dont think we can use it. Amit can elaborate</text>
    <mentions>
      <mention mentionpersonId="{8D501CAE-D18B-491E-8D77-55CDB4CD8D01}" mentionId="{BEDFA2E7-6CB8-45D5-94E2-AEA449233F19}" startIndex="0" length="9"/>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ev.azure.com/Payoneer/Payoneer/_workitems/edit/1214263"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ev.azure.com/Payoneer/Payoneer/_workitems/edit/1251645" TargetMode="External"/><Relationship Id="rId2" Type="http://schemas.openxmlformats.org/officeDocument/2006/relationships/hyperlink" Target="https://dev.azure.com/Payoneer/Payoneer/_workitems/edit/1221955" TargetMode="External"/><Relationship Id="rId1" Type="http://schemas.openxmlformats.org/officeDocument/2006/relationships/hyperlink" Target="https://dev.azure.com/Payoneer/Payoneer/_workitems/edit/1220044" TargetMode="External"/><Relationship Id="rId6" Type="http://schemas.openxmlformats.org/officeDocument/2006/relationships/drawing" Target="../drawings/drawing2.xml"/><Relationship Id="rId5" Type="http://schemas.openxmlformats.org/officeDocument/2006/relationships/hyperlink" Target="https://dev.azure.com/Payoneer/Payoneer/_workitems/edit/1214263" TargetMode="External"/><Relationship Id="rId4" Type="http://schemas.openxmlformats.org/officeDocument/2006/relationships/hyperlink" Target="https://dev.azure.com/Payoneer/Payoneer/_workitems/edit/906123"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payoneerinc-my.sharepoint.com/:x:/r/personal/danielgr_payoneer_com/_layouts/15/Doc.aspx?sourcedoc=%7BD15F69E1-5071-4C0F-8B9D-2CB81CFEFE67%7D&amp;file=VoP%20-%20domain%20work%20plan.xlsx&amp;action=default&amp;mobileredirect=true&amp;wdExp=TEAMS-TREATMENT&amp;web=1&amp;TeamsCID=17497155-8bbb-41bc-99f0-4130cecbbacc&amp;isSPOFile=1&amp;ovuser=decee90c-ce03-461e-8c21-dd538e181c75%2Cnogamos%40payoneer.com&amp;clickparams=eyJBcHBOYW1lIjoiVGVhbXMtRGVza3RvcCIsIkFwcFZlcnNpb24iOiI1MC8yNjA1MTQxNjcxMyIsIkhhc0ZlZGVyYXRlZFVzZXIiOmZhbHNlfQ%3D%3D"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5376E-9A7B-4EC0-9307-7E1B5EF776F4}">
  <sheetPr>
    <tabColor rgb="FFFFDA6B"/>
  </sheetPr>
  <dimension ref="A1:Q22"/>
  <sheetViews>
    <sheetView zoomScale="85" zoomScaleNormal="85" workbookViewId="0">
      <pane ySplit="1" topLeftCell="A4" activePane="bottomLeft" state="frozen"/>
      <selection pane="bottomLeft" activeCell="C6" sqref="C6:C8"/>
    </sheetView>
  </sheetViews>
  <sheetFormatPr defaultRowHeight="15.75" x14ac:dyDescent="0.25"/>
  <cols>
    <col min="1" max="1" width="9" customWidth="1"/>
    <col min="2" max="2" width="24" customWidth="1"/>
    <col min="3" max="5" width="33.25" customWidth="1"/>
    <col min="6" max="6" width="25.5" customWidth="1"/>
    <col min="7" max="7" width="21" customWidth="1"/>
    <col min="8" max="8" width="17.625" bestFit="1" customWidth="1"/>
    <col min="9" max="9" width="15.875" bestFit="1" customWidth="1"/>
    <col min="10" max="11" width="13.625" customWidth="1"/>
    <col min="12" max="12" width="24" customWidth="1"/>
    <col min="14" max="14" width="20" customWidth="1"/>
    <col min="15" max="15" width="33.625" bestFit="1" customWidth="1"/>
    <col min="16" max="16" width="18" bestFit="1" customWidth="1"/>
    <col min="17" max="17" width="9" style="198"/>
  </cols>
  <sheetData>
    <row r="1" spans="1:17" ht="45.75" thickBot="1" x14ac:dyDescent="0.3">
      <c r="A1" s="64" t="s">
        <v>0</v>
      </c>
      <c r="B1" s="64" t="s">
        <v>1</v>
      </c>
      <c r="C1" s="64" t="s">
        <v>2</v>
      </c>
      <c r="D1" s="64" t="s">
        <v>3</v>
      </c>
      <c r="E1" s="64" t="s">
        <v>4</v>
      </c>
      <c r="F1" s="64" t="s">
        <v>5</v>
      </c>
      <c r="G1" s="64" t="s">
        <v>6</v>
      </c>
      <c r="H1" s="64" t="s">
        <v>7</v>
      </c>
      <c r="I1" s="64" t="s">
        <v>8</v>
      </c>
      <c r="J1" s="64" t="s">
        <v>9</v>
      </c>
      <c r="K1" s="64" t="s">
        <v>10</v>
      </c>
      <c r="L1" s="64" t="s">
        <v>11</v>
      </c>
      <c r="M1" s="89" t="s">
        <v>12</v>
      </c>
      <c r="N1" s="64" t="s">
        <v>13</v>
      </c>
      <c r="O1" s="195" t="s">
        <v>14</v>
      </c>
      <c r="P1" s="204" t="s">
        <v>15</v>
      </c>
    </row>
    <row r="2" spans="1:17" ht="195" x14ac:dyDescent="0.25">
      <c r="A2" s="63" t="s">
        <v>16</v>
      </c>
      <c r="B2" s="82" t="s">
        <v>17</v>
      </c>
      <c r="C2" s="85" t="s">
        <v>124</v>
      </c>
      <c r="D2" s="83" t="s">
        <v>125</v>
      </c>
      <c r="E2" s="192" t="s">
        <v>105</v>
      </c>
      <c r="F2" s="193" t="s">
        <v>126</v>
      </c>
      <c r="G2" s="193" t="s">
        <v>127</v>
      </c>
      <c r="H2" s="194" t="s">
        <v>96</v>
      </c>
      <c r="I2" s="63" t="s">
        <v>97</v>
      </c>
      <c r="J2" s="63"/>
      <c r="K2" s="68"/>
      <c r="L2" s="70" t="s">
        <v>23</v>
      </c>
      <c r="M2" s="202"/>
      <c r="N2" s="200"/>
      <c r="O2" s="196" t="s">
        <v>506</v>
      </c>
      <c r="P2" s="207"/>
      <c r="Q2" s="199"/>
    </row>
    <row r="3" spans="1:17" ht="135" x14ac:dyDescent="0.25">
      <c r="A3" s="63" t="s">
        <v>16</v>
      </c>
      <c r="B3" s="82" t="s">
        <v>17</v>
      </c>
      <c r="C3" s="67" t="s">
        <v>28</v>
      </c>
      <c r="D3" s="83" t="s">
        <v>29</v>
      </c>
      <c r="E3" s="192" t="s">
        <v>105</v>
      </c>
      <c r="F3" s="193" t="s">
        <v>30</v>
      </c>
      <c r="G3" s="67" t="s">
        <v>31</v>
      </c>
      <c r="H3" s="194" t="s">
        <v>96</v>
      </c>
      <c r="I3" s="194" t="s">
        <v>97</v>
      </c>
      <c r="J3" s="84"/>
      <c r="K3" s="68"/>
      <c r="L3" s="70" t="s">
        <v>23</v>
      </c>
      <c r="M3" s="202"/>
      <c r="N3" s="201"/>
      <c r="O3" s="196" t="s">
        <v>507</v>
      </c>
      <c r="P3" s="202"/>
      <c r="Q3" s="199"/>
    </row>
    <row r="4" spans="1:17" ht="330" x14ac:dyDescent="0.25">
      <c r="A4" s="63" t="s">
        <v>16</v>
      </c>
      <c r="B4" s="82" t="s">
        <v>17</v>
      </c>
      <c r="C4" s="98" t="s">
        <v>491</v>
      </c>
      <c r="D4" s="83" t="s">
        <v>492</v>
      </c>
      <c r="E4" s="192" t="s">
        <v>105</v>
      </c>
      <c r="F4" s="193" t="s">
        <v>493</v>
      </c>
      <c r="G4" s="98" t="s">
        <v>494</v>
      </c>
      <c r="H4" s="194" t="s">
        <v>96</v>
      </c>
      <c r="I4" s="194" t="s">
        <v>97</v>
      </c>
      <c r="J4" s="84"/>
      <c r="K4" s="68"/>
      <c r="L4" s="70" t="s">
        <v>111</v>
      </c>
      <c r="Q4" s="199"/>
    </row>
    <row r="5" spans="1:17" ht="114.95" customHeight="1" x14ac:dyDescent="0.25">
      <c r="A5" s="63" t="s">
        <v>33</v>
      </c>
      <c r="B5" s="82" t="s">
        <v>17</v>
      </c>
      <c r="C5" s="67" t="s">
        <v>508</v>
      </c>
      <c r="D5" s="79" t="s">
        <v>492</v>
      </c>
      <c r="E5" s="81" t="s">
        <v>105</v>
      </c>
      <c r="F5" s="67" t="s">
        <v>509</v>
      </c>
      <c r="G5" s="67" t="s">
        <v>511</v>
      </c>
      <c r="H5" s="63" t="s">
        <v>96</v>
      </c>
      <c r="I5" s="63" t="s">
        <v>116</v>
      </c>
      <c r="J5" s="68"/>
      <c r="K5" s="68"/>
      <c r="L5" s="70" t="s">
        <v>23</v>
      </c>
      <c r="M5" s="66"/>
      <c r="N5" s="208" t="s">
        <v>512</v>
      </c>
      <c r="O5" s="209" t="s">
        <v>512</v>
      </c>
      <c r="P5" s="205" t="s">
        <v>513</v>
      </c>
    </row>
    <row r="6" spans="1:17" x14ac:dyDescent="0.25">
      <c r="A6" s="63" t="s">
        <v>20</v>
      </c>
      <c r="B6" s="82" t="s">
        <v>20</v>
      </c>
      <c r="C6" s="193"/>
      <c r="D6" s="79"/>
      <c r="E6" s="81" t="s">
        <v>20</v>
      </c>
      <c r="F6" s="67"/>
      <c r="G6" s="67"/>
      <c r="H6" s="63" t="s">
        <v>20</v>
      </c>
      <c r="I6" s="63" t="s">
        <v>20</v>
      </c>
      <c r="J6" s="68"/>
      <c r="K6" s="68"/>
      <c r="L6" s="70" t="s">
        <v>20</v>
      </c>
      <c r="M6" s="63"/>
      <c r="N6" s="66"/>
      <c r="O6" s="197"/>
      <c r="P6" s="206"/>
    </row>
    <row r="7" spans="1:17" x14ac:dyDescent="0.25">
      <c r="A7" s="63" t="s">
        <v>20</v>
      </c>
      <c r="B7" s="82" t="s">
        <v>20</v>
      </c>
      <c r="C7" s="193"/>
      <c r="D7" s="79"/>
      <c r="E7" s="81" t="s">
        <v>20</v>
      </c>
      <c r="F7" s="67"/>
      <c r="G7" s="67"/>
      <c r="H7" s="63" t="s">
        <v>20</v>
      </c>
      <c r="I7" s="63" t="s">
        <v>20</v>
      </c>
      <c r="J7" s="68"/>
      <c r="K7" s="68"/>
      <c r="L7" s="70" t="s">
        <v>20</v>
      </c>
      <c r="M7" s="63"/>
      <c r="N7" s="66"/>
      <c r="O7" s="197"/>
      <c r="P7" s="206"/>
    </row>
    <row r="8" spans="1:17" x14ac:dyDescent="0.25">
      <c r="A8" s="63" t="s">
        <v>20</v>
      </c>
      <c r="B8" s="82" t="s">
        <v>20</v>
      </c>
      <c r="C8" s="193"/>
      <c r="D8" s="79"/>
      <c r="E8" s="81" t="s">
        <v>20</v>
      </c>
      <c r="F8" s="67"/>
      <c r="G8" s="67"/>
      <c r="H8" s="63" t="s">
        <v>20</v>
      </c>
      <c r="I8" s="63" t="s">
        <v>20</v>
      </c>
      <c r="J8" s="68"/>
      <c r="K8" s="68"/>
      <c r="L8" s="70" t="s">
        <v>20</v>
      </c>
      <c r="M8" s="63"/>
      <c r="N8" s="66"/>
      <c r="O8" s="197"/>
      <c r="P8" s="206"/>
    </row>
    <row r="9" spans="1:17" x14ac:dyDescent="0.25">
      <c r="A9" s="63" t="s">
        <v>20</v>
      </c>
      <c r="B9" s="82" t="s">
        <v>20</v>
      </c>
      <c r="C9" s="67"/>
      <c r="D9" s="79"/>
      <c r="E9" s="81" t="s">
        <v>20</v>
      </c>
      <c r="F9" s="67"/>
      <c r="G9" s="67"/>
      <c r="H9" s="63" t="s">
        <v>20</v>
      </c>
      <c r="I9" s="63" t="s">
        <v>20</v>
      </c>
      <c r="J9" s="68"/>
      <c r="K9" s="68"/>
      <c r="L9" s="70" t="s">
        <v>20</v>
      </c>
      <c r="M9" s="71"/>
      <c r="N9" s="66"/>
      <c r="O9" s="197"/>
      <c r="P9" s="206"/>
    </row>
    <row r="10" spans="1:17" x14ac:dyDescent="0.25">
      <c r="A10" s="63" t="s">
        <v>20</v>
      </c>
      <c r="B10" s="82" t="s">
        <v>20</v>
      </c>
      <c r="C10" s="67"/>
      <c r="D10" s="79"/>
      <c r="E10" s="81" t="s">
        <v>20</v>
      </c>
      <c r="F10" s="67"/>
      <c r="G10" s="67"/>
      <c r="H10" s="63" t="s">
        <v>20</v>
      </c>
      <c r="I10" s="63" t="s">
        <v>20</v>
      </c>
      <c r="J10" s="68"/>
      <c r="K10" s="68"/>
      <c r="L10" s="70" t="s">
        <v>20</v>
      </c>
      <c r="M10" s="63"/>
      <c r="N10" s="66"/>
      <c r="O10" s="203"/>
      <c r="P10" s="206"/>
    </row>
    <row r="13" spans="1:17" x14ac:dyDescent="0.25">
      <c r="L13" s="76" t="s">
        <v>49</v>
      </c>
      <c r="M13" s="75">
        <f>SUM(M2:M10)</f>
        <v>0</v>
      </c>
    </row>
    <row r="14" spans="1:17" x14ac:dyDescent="0.25">
      <c r="L14" s="77" t="s">
        <v>50</v>
      </c>
      <c r="M14" s="68">
        <f xml:space="preserve"> SUMIF(L2:L10, "Yes",M2:M10)</f>
        <v>0</v>
      </c>
    </row>
    <row r="15" spans="1:17" x14ac:dyDescent="0.25">
      <c r="L15" s="76" t="s">
        <v>51</v>
      </c>
      <c r="M15" s="73">
        <f>FLOOR((((M19-(M19*M20)-M22)*M18)-(((M19-(M19*M20)-M22)*M18)*M21)),1)</f>
        <v>0</v>
      </c>
    </row>
    <row r="16" spans="1:17" x14ac:dyDescent="0.25">
      <c r="L16" s="77" t="s">
        <v>52</v>
      </c>
      <c r="M16" s="74">
        <f>MAX(0, MIN(100, M14-M15))</f>
        <v>0</v>
      </c>
    </row>
    <row r="17" spans="12:13" x14ac:dyDescent="0.25">
      <c r="L17" s="78"/>
      <c r="M17" s="62"/>
    </row>
    <row r="18" spans="12:13" x14ac:dyDescent="0.25">
      <c r="L18" s="77" t="s">
        <v>53</v>
      </c>
      <c r="M18" s="74"/>
    </row>
    <row r="19" spans="12:13" x14ac:dyDescent="0.25">
      <c r="L19" s="77" t="s">
        <v>54</v>
      </c>
      <c r="M19" s="74"/>
    </row>
    <row r="20" spans="12:13" x14ac:dyDescent="0.25">
      <c r="L20" s="77" t="s">
        <v>55</v>
      </c>
      <c r="M20" s="74"/>
    </row>
    <row r="21" spans="12:13" x14ac:dyDescent="0.25">
      <c r="L21" s="76" t="s">
        <v>56</v>
      </c>
      <c r="M21" s="74"/>
    </row>
    <row r="22" spans="12:13" x14ac:dyDescent="0.25">
      <c r="L22" s="77" t="s">
        <v>57</v>
      </c>
      <c r="M22" s="74"/>
    </row>
  </sheetData>
  <conditionalFormatting sqref="A1:B1 A6:A10 A11:B1048576">
    <cfRule type="cellIs" dxfId="69" priority="15" operator="equal">
      <formula>"P4"</formula>
    </cfRule>
    <cfRule type="cellIs" dxfId="68" priority="16" operator="equal">
      <formula>"P3"</formula>
    </cfRule>
    <cfRule type="cellIs" dxfId="67" priority="17" operator="equal">
      <formula>"P2"</formula>
    </cfRule>
    <cfRule type="cellIs" dxfId="66" priority="18" operator="equal">
      <formula>"P1"</formula>
    </cfRule>
    <cfRule type="cellIs" dxfId="65" priority="19" operator="equal">
      <formula>"P0"</formula>
    </cfRule>
  </conditionalFormatting>
  <conditionalFormatting sqref="B1 B5:B1048576">
    <cfRule type="cellIs" dxfId="64" priority="12" operator="equal">
      <formula>"Engineering Excellence"</formula>
    </cfRule>
    <cfRule type="cellIs" dxfId="63" priority="13" operator="equal">
      <formula>"Non-Dev Commitment"</formula>
    </cfRule>
    <cfRule type="cellIs" dxfId="62" priority="14" operator="equal">
      <formula>"Product Commitment"</formula>
    </cfRule>
  </conditionalFormatting>
  <conditionalFormatting sqref="L21:L1048576 L5:L11 L1:M1">
    <cfRule type="containsText" dxfId="61" priority="22" operator="containsText" text="No">
      <formula>NOT(ISERROR(SEARCH("No",L1)))</formula>
    </cfRule>
    <cfRule type="containsText" dxfId="60" priority="23" operator="containsText" text="Yes">
      <formula>NOT(ISERROR(SEARCH("Yes",L1)))</formula>
    </cfRule>
    <cfRule type="containsText" dxfId="59" priority="24" operator="containsText" text="TBD">
      <formula>NOT(ISERROR(SEARCH("TBD",L1)))</formula>
    </cfRule>
  </conditionalFormatting>
  <conditionalFormatting sqref="M16">
    <cfRule type="cellIs" dxfId="58" priority="20" operator="greaterThan">
      <formula>0</formula>
    </cfRule>
    <cfRule type="cellIs" dxfId="57" priority="21" operator="equal">
      <formula>0</formula>
    </cfRule>
  </conditionalFormatting>
  <conditionalFormatting sqref="A2:A5">
    <cfRule type="cellIs" dxfId="56" priority="4" operator="equal">
      <formula>"P4"</formula>
    </cfRule>
    <cfRule type="cellIs" dxfId="55" priority="5" operator="equal">
      <formula>"P3"</formula>
    </cfRule>
    <cfRule type="cellIs" dxfId="54" priority="6" operator="equal">
      <formula>"P2"</formula>
    </cfRule>
    <cfRule type="cellIs" dxfId="53" priority="7" operator="equal">
      <formula>"P1"</formula>
    </cfRule>
    <cfRule type="cellIs" dxfId="52" priority="8" operator="equal">
      <formula>"P0"</formula>
    </cfRule>
  </conditionalFormatting>
  <conditionalFormatting sqref="B2:B4">
    <cfRule type="cellIs" dxfId="51" priority="1" operator="equal">
      <formula>"Engineering Excellence"</formula>
    </cfRule>
    <cfRule type="cellIs" dxfId="50" priority="2" operator="equal">
      <formula>"Non-Dev Commitment"</formula>
    </cfRule>
    <cfRule type="cellIs" dxfId="49" priority="3" operator="equal">
      <formula>"Product Commitment"</formula>
    </cfRule>
  </conditionalFormatting>
  <conditionalFormatting sqref="L2:L4">
    <cfRule type="containsText" dxfId="48" priority="9" operator="containsText" text="No">
      <formula>NOT(ISERROR(SEARCH("No",L2)))</formula>
    </cfRule>
    <cfRule type="containsText" dxfId="47" priority="10" operator="containsText" text="Yes">
      <formula>NOT(ISERROR(SEARCH("Yes",L2)))</formula>
    </cfRule>
    <cfRule type="containsText" dxfId="46" priority="11" operator="containsText" text="TBD">
      <formula>NOT(ISERROR(SEARCH("TBD",L2)))</formula>
    </cfRule>
  </conditionalFormatting>
  <dataValidations count="1">
    <dataValidation allowBlank="1" showInputMessage="1" showErrorMessage="1" sqref="I1:J1" xr:uid="{61985E9B-E968-48ED-A0AA-D8FB624DD70F}"/>
  </dataValidations>
  <hyperlinks>
    <hyperlink ref="D3" r:id="rId1" xr:uid="{9613E795-F02D-49D2-85F1-3ED5DD5127FF}"/>
  </hyperlinks>
  <pageMargins left="0.7" right="0.7" top="0.75" bottom="0.75" header="0.3" footer="0.3"/>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2EF4F604-3C10-47E4-87F4-BEDC6B085AAB}">
          <x14:formula1>
            <xm:f>Dropdowns!$H$2:$H$8</xm:f>
          </x14:formula1>
          <xm:sqref>B2:B10</xm:sqref>
        </x14:dataValidation>
        <x14:dataValidation type="list" allowBlank="1" showInputMessage="1" showErrorMessage="1" xr:uid="{3D588C24-CA1F-4541-A47E-21D7C87F2D88}">
          <x14:formula1>
            <xm:f>Dropdowns!$F$2:$F$30</xm:f>
          </x14:formula1>
          <xm:sqref>E2:E10</xm:sqref>
        </x14:dataValidation>
        <x14:dataValidation type="list" allowBlank="1" showInputMessage="1" showErrorMessage="1" xr:uid="{AF4B5CC9-1EB7-4E8D-90DF-8DD9F3217876}">
          <x14:formula1>
            <xm:f>Dropdowns!$D$2:$D$30</xm:f>
          </x14:formula1>
          <xm:sqref>L2:L10</xm:sqref>
        </x14:dataValidation>
        <x14:dataValidation type="list" allowBlank="1" showInputMessage="1" showErrorMessage="1" xr:uid="{F5EA7640-1136-4727-8FE9-08A2DDE1C4EC}">
          <x14:formula1>
            <xm:f>Dropdowns!$C$2:$C$30</xm:f>
          </x14:formula1>
          <xm:sqref>I2:I10 J2:J4</xm:sqref>
        </x14:dataValidation>
        <x14:dataValidation type="list" allowBlank="1" showInputMessage="1" showErrorMessage="1" xr:uid="{D259394E-A010-448F-B27F-9EA7A9AF5E01}">
          <x14:formula1>
            <xm:f>Dropdowns!$B$2:$B$30</xm:f>
          </x14:formula1>
          <xm:sqref>H2:H10</xm:sqref>
        </x14:dataValidation>
        <x14:dataValidation type="list" allowBlank="1" showInputMessage="1" showErrorMessage="1" xr:uid="{4AB5924C-4B3D-4F22-A764-6179B0D72AC5}">
          <x14:formula1>
            <xm:f>Dropdowns!$A$2:$A$30</xm:f>
          </x14:formula1>
          <xm:sqref>A2:A10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5C589-F724-4A79-8191-5D453A619D2F}">
  <sheetPr>
    <tabColor theme="1"/>
  </sheetPr>
  <dimension ref="A1:P28"/>
  <sheetViews>
    <sheetView zoomScale="80" zoomScaleNormal="80" workbookViewId="0">
      <pane ySplit="1" topLeftCell="A2" activePane="bottomLeft" state="frozen"/>
      <selection pane="bottomLeft" activeCell="D1" sqref="D1"/>
    </sheetView>
  </sheetViews>
  <sheetFormatPr defaultRowHeight="15.75" x14ac:dyDescent="0.25"/>
  <cols>
    <col min="1" max="1" width="9" customWidth="1"/>
    <col min="2" max="2" width="24" customWidth="1"/>
    <col min="3" max="5" width="33.25" customWidth="1"/>
    <col min="6" max="6" width="25.5" customWidth="1"/>
    <col min="7" max="7" width="21" customWidth="1"/>
    <col min="8" max="8" width="17.625" bestFit="1" customWidth="1"/>
    <col min="9" max="9" width="15.875" bestFit="1" customWidth="1"/>
    <col min="10" max="11" width="13.625" customWidth="1"/>
    <col min="12" max="12" width="24" customWidth="1"/>
    <col min="14" max="14" width="20" customWidth="1"/>
    <col min="15" max="15" width="33.625" bestFit="1" customWidth="1"/>
    <col min="16" max="16" width="18" bestFit="1" customWidth="1"/>
  </cols>
  <sheetData>
    <row r="1" spans="1:16" ht="45" x14ac:dyDescent="0.25">
      <c r="A1" s="64" t="s">
        <v>0</v>
      </c>
      <c r="B1" s="64" t="s">
        <v>1</v>
      </c>
      <c r="C1" s="64" t="s">
        <v>2</v>
      </c>
      <c r="D1" s="64" t="s">
        <v>3</v>
      </c>
      <c r="E1" s="64" t="s">
        <v>4</v>
      </c>
      <c r="F1" s="64" t="s">
        <v>5</v>
      </c>
      <c r="G1" s="64" t="s">
        <v>6</v>
      </c>
      <c r="H1" s="64" t="s">
        <v>7</v>
      </c>
      <c r="I1" s="64" t="s">
        <v>8</v>
      </c>
      <c r="J1" s="64" t="s">
        <v>9</v>
      </c>
      <c r="K1" s="64" t="s">
        <v>10</v>
      </c>
      <c r="L1" s="64" t="s">
        <v>11</v>
      </c>
      <c r="M1" s="64" t="s">
        <v>12</v>
      </c>
      <c r="N1" s="64" t="s">
        <v>13</v>
      </c>
      <c r="O1" s="65" t="s">
        <v>14</v>
      </c>
      <c r="P1" s="65" t="s">
        <v>15</v>
      </c>
    </row>
    <row r="2" spans="1:16" ht="180" x14ac:dyDescent="0.25">
      <c r="A2" s="66" t="s">
        <v>16</v>
      </c>
      <c r="B2" s="82" t="s">
        <v>17</v>
      </c>
      <c r="C2" s="79" t="s">
        <v>18</v>
      </c>
      <c r="D2" s="83" t="s">
        <v>19</v>
      </c>
      <c r="E2" s="81" t="s">
        <v>118</v>
      </c>
      <c r="F2" s="67" t="s">
        <v>21</v>
      </c>
      <c r="G2" s="67" t="s">
        <v>22</v>
      </c>
      <c r="H2" s="66" t="s">
        <v>96</v>
      </c>
      <c r="I2" s="66" t="s">
        <v>97</v>
      </c>
      <c r="J2" s="80"/>
      <c r="K2" s="80"/>
      <c r="L2" s="69" t="s">
        <v>23</v>
      </c>
      <c r="M2" s="66">
        <v>8</v>
      </c>
      <c r="N2" s="66"/>
      <c r="O2" s="79"/>
      <c r="P2" s="79"/>
    </row>
    <row r="3" spans="1:16" ht="60" x14ac:dyDescent="0.25">
      <c r="A3" s="63" t="s">
        <v>16</v>
      </c>
      <c r="B3" s="82" t="s">
        <v>17</v>
      </c>
      <c r="C3" s="67" t="s">
        <v>24</v>
      </c>
      <c r="D3" s="83" t="s">
        <v>25</v>
      </c>
      <c r="E3" s="81" t="s">
        <v>105</v>
      </c>
      <c r="F3" s="67" t="s">
        <v>26</v>
      </c>
      <c r="G3" s="67" t="s">
        <v>27</v>
      </c>
      <c r="H3" s="63" t="s">
        <v>96</v>
      </c>
      <c r="I3" s="63" t="s">
        <v>97</v>
      </c>
      <c r="J3" s="68"/>
      <c r="K3" s="68"/>
      <c r="L3" s="70" t="s">
        <v>23</v>
      </c>
      <c r="M3" s="63">
        <v>6</v>
      </c>
      <c r="N3" s="66"/>
      <c r="O3" s="67"/>
      <c r="P3" s="67"/>
    </row>
    <row r="4" spans="1:16" ht="45" x14ac:dyDescent="0.25">
      <c r="A4" s="63" t="s">
        <v>16</v>
      </c>
      <c r="B4" s="82" t="s">
        <v>17</v>
      </c>
      <c r="C4" s="67" t="s">
        <v>437</v>
      </c>
      <c r="D4" s="83"/>
      <c r="E4" s="81" t="s">
        <v>105</v>
      </c>
      <c r="F4" s="67" t="s">
        <v>438</v>
      </c>
      <c r="G4" s="67" t="s">
        <v>27</v>
      </c>
      <c r="H4" s="63" t="s">
        <v>96</v>
      </c>
      <c r="I4" s="63" t="s">
        <v>97</v>
      </c>
      <c r="J4" s="68"/>
      <c r="K4" s="68"/>
      <c r="L4" s="70"/>
      <c r="M4" s="63"/>
      <c r="N4" s="66"/>
      <c r="O4" s="67"/>
      <c r="P4" s="67"/>
    </row>
    <row r="5" spans="1:16" ht="31.5" x14ac:dyDescent="0.25">
      <c r="A5" s="63" t="s">
        <v>16</v>
      </c>
      <c r="B5" s="82" t="s">
        <v>17</v>
      </c>
      <c r="C5" s="85" t="s">
        <v>124</v>
      </c>
      <c r="D5" s="83" t="s">
        <v>125</v>
      </c>
      <c r="E5" s="81" t="s">
        <v>105</v>
      </c>
      <c r="F5" s="85"/>
      <c r="G5" s="85"/>
      <c r="H5" s="63"/>
      <c r="I5" s="63"/>
      <c r="J5" s="68"/>
      <c r="K5" s="68"/>
      <c r="L5" s="70"/>
      <c r="M5" s="63"/>
      <c r="N5" s="66"/>
      <c r="O5" s="98"/>
      <c r="P5" s="67"/>
    </row>
    <row r="6" spans="1:16" ht="31.5" x14ac:dyDescent="0.25">
      <c r="A6" s="63" t="s">
        <v>16</v>
      </c>
      <c r="B6" s="82" t="s">
        <v>17</v>
      </c>
      <c r="C6" s="67" t="s">
        <v>28</v>
      </c>
      <c r="D6" s="83" t="s">
        <v>29</v>
      </c>
      <c r="E6" s="81" t="s">
        <v>105</v>
      </c>
      <c r="F6" s="67"/>
      <c r="G6" s="67"/>
      <c r="H6" s="63"/>
      <c r="I6" s="84"/>
      <c r="J6" s="68"/>
      <c r="K6" s="68"/>
      <c r="L6" s="70"/>
      <c r="M6" s="84"/>
      <c r="N6" s="66"/>
      <c r="O6" s="98"/>
      <c r="P6" s="67"/>
    </row>
    <row r="7" spans="1:16" ht="165" x14ac:dyDescent="0.25">
      <c r="A7" s="63" t="s">
        <v>33</v>
      </c>
      <c r="B7" s="82" t="s">
        <v>17</v>
      </c>
      <c r="C7" s="67" t="s">
        <v>34</v>
      </c>
      <c r="D7" s="83" t="s">
        <v>35</v>
      </c>
      <c r="E7" s="81" t="s">
        <v>121</v>
      </c>
      <c r="F7" s="67" t="s">
        <v>36</v>
      </c>
      <c r="G7" s="67" t="s">
        <v>37</v>
      </c>
      <c r="H7" s="63" t="s">
        <v>20</v>
      </c>
      <c r="I7" s="63" t="s">
        <v>20</v>
      </c>
      <c r="J7" s="68"/>
      <c r="K7" s="68"/>
      <c r="L7" s="70" t="s">
        <v>23</v>
      </c>
      <c r="M7" s="63" t="s">
        <v>38</v>
      </c>
      <c r="N7" s="66"/>
      <c r="O7" s="67"/>
      <c r="P7" s="67"/>
    </row>
    <row r="8" spans="1:16" ht="120" x14ac:dyDescent="0.25">
      <c r="A8" s="63" t="s">
        <v>33</v>
      </c>
      <c r="B8" s="82" t="s">
        <v>17</v>
      </c>
      <c r="C8" s="67" t="s">
        <v>39</v>
      </c>
      <c r="D8" s="83" t="s">
        <v>40</v>
      </c>
      <c r="E8" s="81" t="s">
        <v>105</v>
      </c>
      <c r="F8" s="67" t="s">
        <v>41</v>
      </c>
      <c r="G8" s="67" t="s">
        <v>42</v>
      </c>
      <c r="H8" s="63" t="s">
        <v>20</v>
      </c>
      <c r="I8" s="63" t="s">
        <v>20</v>
      </c>
      <c r="J8" s="68"/>
      <c r="K8" s="68"/>
      <c r="L8" s="70" t="s">
        <v>23</v>
      </c>
      <c r="M8" s="63">
        <v>1</v>
      </c>
      <c r="N8" s="66"/>
      <c r="O8" s="67"/>
      <c r="P8" s="67"/>
    </row>
    <row r="9" spans="1:16" ht="90" x14ac:dyDescent="0.25">
      <c r="A9" s="63" t="s">
        <v>16</v>
      </c>
      <c r="B9" s="82" t="s">
        <v>17</v>
      </c>
      <c r="C9" s="67" t="s">
        <v>43</v>
      </c>
      <c r="D9" s="79"/>
      <c r="E9" s="81" t="s">
        <v>99</v>
      </c>
      <c r="F9" s="67" t="s">
        <v>44</v>
      </c>
      <c r="G9" s="67" t="s">
        <v>45</v>
      </c>
      <c r="H9" s="63" t="s">
        <v>20</v>
      </c>
      <c r="I9" s="63" t="s">
        <v>20</v>
      </c>
      <c r="J9" s="68"/>
      <c r="K9" s="68"/>
      <c r="L9" s="70" t="s">
        <v>20</v>
      </c>
      <c r="M9" s="63" t="s">
        <v>32</v>
      </c>
      <c r="N9" s="66"/>
      <c r="O9" s="67"/>
      <c r="P9" s="67"/>
    </row>
    <row r="10" spans="1:16" ht="30" x14ac:dyDescent="0.25">
      <c r="A10" s="63" t="s">
        <v>20</v>
      </c>
      <c r="B10" s="82" t="s">
        <v>46</v>
      </c>
      <c r="C10" s="67" t="s">
        <v>47</v>
      </c>
      <c r="D10" s="79"/>
      <c r="E10" s="81" t="s">
        <v>118</v>
      </c>
      <c r="F10" s="67"/>
      <c r="G10" s="67"/>
      <c r="H10" s="63" t="s">
        <v>20</v>
      </c>
      <c r="I10" s="63" t="s">
        <v>20</v>
      </c>
      <c r="J10" s="68"/>
      <c r="K10" s="68"/>
      <c r="L10" s="70" t="s">
        <v>20</v>
      </c>
      <c r="M10" s="63"/>
      <c r="N10" s="66"/>
      <c r="O10" s="67"/>
      <c r="P10" s="67"/>
    </row>
    <row r="11" spans="1:16" x14ac:dyDescent="0.25">
      <c r="A11" s="63" t="s">
        <v>20</v>
      </c>
      <c r="B11" s="82" t="s">
        <v>46</v>
      </c>
      <c r="C11" s="67" t="s">
        <v>48</v>
      </c>
      <c r="D11" s="79"/>
      <c r="E11" s="81" t="s">
        <v>118</v>
      </c>
      <c r="F11" s="67"/>
      <c r="G11" s="67"/>
      <c r="H11" s="63" t="s">
        <v>20</v>
      </c>
      <c r="I11" s="63" t="s">
        <v>20</v>
      </c>
      <c r="J11" s="68"/>
      <c r="K11" s="68"/>
      <c r="L11" s="70" t="s">
        <v>20</v>
      </c>
      <c r="M11" s="71"/>
      <c r="N11" s="66"/>
      <c r="O11" s="67"/>
      <c r="P11" s="67"/>
    </row>
    <row r="12" spans="1:16" ht="210" x14ac:dyDescent="0.25">
      <c r="A12" s="63" t="s">
        <v>20</v>
      </c>
      <c r="B12" s="82" t="s">
        <v>17</v>
      </c>
      <c r="C12" s="67" t="s">
        <v>128</v>
      </c>
      <c r="D12" s="79"/>
      <c r="E12" s="81" t="s">
        <v>99</v>
      </c>
      <c r="F12" s="67" t="s">
        <v>131</v>
      </c>
      <c r="G12" s="67" t="s">
        <v>132</v>
      </c>
      <c r="H12" s="63" t="s">
        <v>20</v>
      </c>
      <c r="I12" s="63" t="s">
        <v>20</v>
      </c>
      <c r="J12" s="68"/>
      <c r="K12" s="68"/>
      <c r="L12" s="70" t="s">
        <v>20</v>
      </c>
      <c r="M12" s="63"/>
      <c r="N12" s="66"/>
      <c r="O12" s="72"/>
      <c r="P12" s="67"/>
    </row>
    <row r="13" spans="1:16" ht="160.5" customHeight="1" x14ac:dyDescent="0.25">
      <c r="A13" s="63" t="s">
        <v>20</v>
      </c>
      <c r="B13" s="82" t="s">
        <v>17</v>
      </c>
      <c r="C13" s="67" t="s">
        <v>129</v>
      </c>
      <c r="D13" s="79"/>
      <c r="E13" s="81" t="s">
        <v>113</v>
      </c>
      <c r="F13" s="67" t="s">
        <v>137</v>
      </c>
      <c r="G13" s="67" t="s">
        <v>133</v>
      </c>
      <c r="H13" s="63"/>
      <c r="I13" s="63" t="s">
        <v>20</v>
      </c>
      <c r="J13" s="68"/>
      <c r="K13" s="68"/>
      <c r="L13" s="70" t="s">
        <v>20</v>
      </c>
      <c r="M13" s="63"/>
      <c r="N13" s="66"/>
      <c r="O13" s="72"/>
      <c r="P13" s="67"/>
    </row>
    <row r="14" spans="1:16" ht="150.75" customHeight="1" x14ac:dyDescent="0.25">
      <c r="A14" s="63" t="s">
        <v>20</v>
      </c>
      <c r="B14" s="82" t="s">
        <v>17</v>
      </c>
      <c r="C14" s="67" t="s">
        <v>130</v>
      </c>
      <c r="D14" s="79"/>
      <c r="E14" s="81" t="s">
        <v>113</v>
      </c>
      <c r="F14" s="67" t="s">
        <v>138</v>
      </c>
      <c r="G14" s="67" t="s">
        <v>133</v>
      </c>
      <c r="H14" s="63" t="s">
        <v>20</v>
      </c>
      <c r="I14" s="63" t="s">
        <v>20</v>
      </c>
      <c r="J14" s="68"/>
      <c r="K14" s="68"/>
      <c r="L14" s="70" t="s">
        <v>20</v>
      </c>
      <c r="M14" s="63"/>
      <c r="N14" s="66"/>
      <c r="O14" s="72"/>
      <c r="P14" s="67"/>
    </row>
    <row r="15" spans="1:16" ht="74.25" customHeight="1" x14ac:dyDescent="0.25">
      <c r="A15" s="63" t="s">
        <v>20</v>
      </c>
      <c r="B15" s="82" t="s">
        <v>17</v>
      </c>
      <c r="C15" s="67" t="s">
        <v>136</v>
      </c>
      <c r="D15" s="79"/>
      <c r="E15" s="81" t="s">
        <v>113</v>
      </c>
      <c r="F15" s="88" t="s">
        <v>134</v>
      </c>
      <c r="G15" s="67" t="s">
        <v>135</v>
      </c>
      <c r="H15" s="63" t="s">
        <v>20</v>
      </c>
      <c r="I15" s="63" t="s">
        <v>20</v>
      </c>
      <c r="J15" s="68"/>
      <c r="K15" s="68"/>
      <c r="L15" s="70" t="s">
        <v>20</v>
      </c>
      <c r="M15" s="63">
        <v>5</v>
      </c>
      <c r="N15" s="66"/>
      <c r="O15" s="72"/>
      <c r="P15" s="67"/>
    </row>
    <row r="16" spans="1:16" ht="60" x14ac:dyDescent="0.25">
      <c r="A16" s="63" t="s">
        <v>20</v>
      </c>
      <c r="B16" s="82" t="s">
        <v>17</v>
      </c>
      <c r="C16" s="67" t="s">
        <v>139</v>
      </c>
      <c r="D16" s="79"/>
      <c r="E16" s="81" t="s">
        <v>113</v>
      </c>
      <c r="F16" s="67" t="s">
        <v>140</v>
      </c>
      <c r="G16" s="67" t="s">
        <v>141</v>
      </c>
      <c r="H16" s="63" t="s">
        <v>20</v>
      </c>
      <c r="I16" s="63" t="s">
        <v>20</v>
      </c>
      <c r="J16" s="68"/>
      <c r="K16" s="68"/>
      <c r="L16" s="70" t="s">
        <v>20</v>
      </c>
      <c r="M16" s="63"/>
      <c r="N16" s="66"/>
      <c r="O16" s="72"/>
      <c r="P16" s="67"/>
    </row>
    <row r="19" spans="12:13" x14ac:dyDescent="0.25">
      <c r="L19" s="76" t="s">
        <v>49</v>
      </c>
      <c r="M19" s="75">
        <f>SUM(M2:M12)</f>
        <v>15</v>
      </c>
    </row>
    <row r="20" spans="12:13" x14ac:dyDescent="0.25">
      <c r="L20" s="77" t="s">
        <v>50</v>
      </c>
      <c r="M20" s="68">
        <f xml:space="preserve"> SUMIF(L2:L12, "Yes",M2:M12)</f>
        <v>15</v>
      </c>
    </row>
    <row r="21" spans="12:13" x14ac:dyDescent="0.25">
      <c r="L21" s="76" t="s">
        <v>51</v>
      </c>
      <c r="M21" s="73">
        <f>FLOOR((((M25-(M25*M26)-M28)*M24)-(((M25-(M25*M26)-M28)*M24)*M27)),1)</f>
        <v>21</v>
      </c>
    </row>
    <row r="22" spans="12:13" x14ac:dyDescent="0.25">
      <c r="L22" s="77" t="s">
        <v>52</v>
      </c>
      <c r="M22" s="74">
        <f>MAX(0, MIN(100, M20-M21))</f>
        <v>0</v>
      </c>
    </row>
    <row r="23" spans="12:13" x14ac:dyDescent="0.25">
      <c r="L23" s="78"/>
      <c r="M23" s="62"/>
    </row>
    <row r="24" spans="12:13" x14ac:dyDescent="0.25">
      <c r="L24" s="77" t="s">
        <v>53</v>
      </c>
      <c r="M24" s="74">
        <v>4</v>
      </c>
    </row>
    <row r="25" spans="12:13" x14ac:dyDescent="0.25">
      <c r="L25" s="77" t="s">
        <v>54</v>
      </c>
      <c r="M25" s="74">
        <v>13</v>
      </c>
    </row>
    <row r="26" spans="12:13" x14ac:dyDescent="0.25">
      <c r="L26" s="77" t="s">
        <v>55</v>
      </c>
      <c r="M26" s="74">
        <v>0.4</v>
      </c>
    </row>
    <row r="27" spans="12:13" x14ac:dyDescent="0.25">
      <c r="L27" s="76" t="s">
        <v>56</v>
      </c>
      <c r="M27" s="74">
        <v>0.2</v>
      </c>
    </row>
    <row r="28" spans="12:13" x14ac:dyDescent="0.25">
      <c r="L28" s="77" t="s">
        <v>57</v>
      </c>
      <c r="M28" s="74">
        <v>1</v>
      </c>
    </row>
  </sheetData>
  <conditionalFormatting sqref="A1:B1 A17:B1048576 A2:A16">
    <cfRule type="cellIs" dxfId="45" priority="4" operator="equal">
      <formula>"P4"</formula>
    </cfRule>
    <cfRule type="cellIs" dxfId="44" priority="5" operator="equal">
      <formula>"P3"</formula>
    </cfRule>
    <cfRule type="cellIs" dxfId="43" priority="6" operator="equal">
      <formula>"P2"</formula>
    </cfRule>
    <cfRule type="cellIs" dxfId="42" priority="7" operator="equal">
      <formula>"P1"</formula>
    </cfRule>
    <cfRule type="cellIs" dxfId="41" priority="8" operator="equal">
      <formula>"P0"</formula>
    </cfRule>
  </conditionalFormatting>
  <conditionalFormatting sqref="B1:B1048576">
    <cfRule type="cellIs" dxfId="40" priority="1" operator="equal">
      <formula>"Engineering Excellence"</formula>
    </cfRule>
    <cfRule type="cellIs" dxfId="39" priority="2" operator="equal">
      <formula>"Non-Dev Commitment"</formula>
    </cfRule>
    <cfRule type="cellIs" dxfId="38" priority="3" operator="equal">
      <formula>"Product Commitment"</formula>
    </cfRule>
  </conditionalFormatting>
  <conditionalFormatting sqref="L27:L1048576 L1:L17">
    <cfRule type="containsText" dxfId="37" priority="11" operator="containsText" text="No">
      <formula>NOT(ISERROR(SEARCH("No",L1)))</formula>
    </cfRule>
    <cfRule type="containsText" dxfId="36" priority="12" operator="containsText" text="Yes">
      <formula>NOT(ISERROR(SEARCH("Yes",L1)))</formula>
    </cfRule>
    <cfRule type="containsText" dxfId="35" priority="13" operator="containsText" text="TBD">
      <formula>NOT(ISERROR(SEARCH("TBD",L1)))</formula>
    </cfRule>
  </conditionalFormatting>
  <conditionalFormatting sqref="M22">
    <cfRule type="cellIs" dxfId="34" priority="9" operator="greaterThan">
      <formula>0</formula>
    </cfRule>
    <cfRule type="cellIs" dxfId="33" priority="10" operator="equal">
      <formula>0</formula>
    </cfRule>
  </conditionalFormatting>
  <dataValidations count="1">
    <dataValidation allowBlank="1" showInputMessage="1" showErrorMessage="1" sqref="I1:J1" xr:uid="{59F02ED0-5C9F-47E0-BC04-42E2303F8904}"/>
  </dataValidations>
  <hyperlinks>
    <hyperlink ref="D7" r:id="rId1" xr:uid="{B8B41B58-09BB-456B-8D7B-FCE87B9308DB}"/>
    <hyperlink ref="D8" r:id="rId2" xr:uid="{92AE1022-F66C-4E3F-AA13-62FEDF28FEAA}"/>
    <hyperlink ref="D2" r:id="rId3" xr:uid="{B29E8E11-E80C-4164-B981-C835F1E2111B}"/>
    <hyperlink ref="D3" r:id="rId4" xr:uid="{088CCEC4-39A0-475D-B58E-4F61555488E4}"/>
    <hyperlink ref="D6" r:id="rId5" xr:uid="{40A822FE-727E-4663-81ED-9BB71597D8B7}"/>
  </hyperlinks>
  <pageMargins left="0.7" right="0.7" top="0.75" bottom="0.75" header="0.3" footer="0.3"/>
  <drawing r:id="rId6"/>
  <extLst>
    <ext xmlns:x14="http://schemas.microsoft.com/office/spreadsheetml/2009/9/main" uri="{CCE6A557-97BC-4b89-ADB6-D9C93CAAB3DF}">
      <x14:dataValidations xmlns:xm="http://schemas.microsoft.com/office/excel/2006/main" count="6">
        <x14:dataValidation type="list" allowBlank="1" showInputMessage="1" showErrorMessage="1" xr:uid="{1E5D9523-9655-46FF-8B4D-A6361F1A4E0F}">
          <x14:formula1>
            <xm:f>Dropdowns!$H$2:$H$8</xm:f>
          </x14:formula1>
          <xm:sqref>B2:B16</xm:sqref>
        </x14:dataValidation>
        <x14:dataValidation type="list" allowBlank="1" showInputMessage="1" showErrorMessage="1" xr:uid="{C95AB93B-C957-4A26-B3AD-59C9A280D7A6}">
          <x14:formula1>
            <xm:f>Dropdowns!$F$2:$F$30</xm:f>
          </x14:formula1>
          <xm:sqref>E2:E16</xm:sqref>
        </x14:dataValidation>
        <x14:dataValidation type="list" allowBlank="1" showInputMessage="1" showErrorMessage="1" xr:uid="{2E9EB359-4B94-42A4-85BE-78958297D882}">
          <x14:formula1>
            <xm:f>Dropdowns!$D$2:$D$30</xm:f>
          </x14:formula1>
          <xm:sqref>L2:L16</xm:sqref>
        </x14:dataValidation>
        <x14:dataValidation type="list" allowBlank="1" showInputMessage="1" showErrorMessage="1" xr:uid="{F24DAC45-530D-49A1-89BD-07C17502AB76}">
          <x14:formula1>
            <xm:f>Dropdowns!$C$2:$C$30</xm:f>
          </x14:formula1>
          <xm:sqref>I2:I16</xm:sqref>
        </x14:dataValidation>
        <x14:dataValidation type="list" allowBlank="1" showInputMessage="1" showErrorMessage="1" xr:uid="{7A4146FA-61E6-44A7-8C1B-D6BA0FA72375}">
          <x14:formula1>
            <xm:f>Dropdowns!$B$2:$B$30</xm:f>
          </x14:formula1>
          <xm:sqref>H2:H16</xm:sqref>
        </x14:dataValidation>
        <x14:dataValidation type="list" allowBlank="1" showInputMessage="1" showErrorMessage="1" xr:uid="{EA502D2D-15AC-4FF5-A38B-383DB67BD5FB}">
          <x14:formula1>
            <xm:f>Dropdowns!$A$2:$A$30</xm:f>
          </x14:formula1>
          <xm:sqref>A2:A16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1BE98-55E3-4F96-A0A0-0079D1FF82D1}">
  <sheetPr>
    <tabColor theme="9" tint="0.59999389629810485"/>
  </sheetPr>
  <dimension ref="A1:O37"/>
  <sheetViews>
    <sheetView workbookViewId="0"/>
  </sheetViews>
  <sheetFormatPr defaultRowHeight="15.75" customHeight="1" x14ac:dyDescent="0.25"/>
  <cols>
    <col min="1" max="1" width="9" customWidth="1"/>
    <col min="2" max="2" width="52.5" customWidth="1"/>
    <col min="3" max="3" width="17.625" bestFit="1" customWidth="1"/>
    <col min="4" max="4" width="15.875" bestFit="1" customWidth="1"/>
    <col min="5" max="5" width="13.625" customWidth="1"/>
    <col min="6" max="6" width="8.25" customWidth="1"/>
    <col min="7" max="7" width="12.625" customWidth="1"/>
    <col min="8" max="8" width="18.25" customWidth="1"/>
    <col min="9" max="9" width="19.75" customWidth="1"/>
    <col min="10" max="10" width="38.625" customWidth="1"/>
    <col min="11" max="11" width="51.5" customWidth="1"/>
    <col min="12" max="12" width="24" customWidth="1"/>
    <col min="13" max="13" width="20" customWidth="1"/>
    <col min="14" max="14" width="33.625" bestFit="1" customWidth="1"/>
    <col min="15" max="15" width="18" bestFit="1" customWidth="1"/>
  </cols>
  <sheetData>
    <row r="1" spans="1:15" ht="30.75" thickBot="1" x14ac:dyDescent="0.3">
      <c r="A1" s="89" t="s">
        <v>0</v>
      </c>
      <c r="B1" s="89" t="s">
        <v>2</v>
      </c>
      <c r="C1" s="89" t="s">
        <v>7</v>
      </c>
      <c r="D1" s="89" t="s">
        <v>8</v>
      </c>
      <c r="E1" s="89" t="s">
        <v>9</v>
      </c>
      <c r="F1" s="89" t="s">
        <v>10</v>
      </c>
      <c r="G1" s="89" t="s">
        <v>12</v>
      </c>
      <c r="H1" s="89" t="s">
        <v>142</v>
      </c>
      <c r="I1" s="89" t="s">
        <v>4</v>
      </c>
      <c r="J1" s="89" t="s">
        <v>5</v>
      </c>
      <c r="K1" s="89" t="s">
        <v>6</v>
      </c>
      <c r="L1" s="89" t="s">
        <v>11</v>
      </c>
      <c r="M1" s="89" t="s">
        <v>13</v>
      </c>
      <c r="N1" s="90" t="s">
        <v>14</v>
      </c>
      <c r="O1" s="90" t="s">
        <v>15</v>
      </c>
    </row>
    <row r="2" spans="1:15" ht="75" x14ac:dyDescent="0.25">
      <c r="A2" s="91" t="s">
        <v>33</v>
      </c>
      <c r="B2" s="92" t="s">
        <v>143</v>
      </c>
      <c r="C2" s="91" t="s">
        <v>109</v>
      </c>
      <c r="D2" s="91" t="s">
        <v>110</v>
      </c>
      <c r="E2" s="93" t="s">
        <v>118</v>
      </c>
      <c r="F2" s="93"/>
      <c r="G2" s="91">
        <v>8</v>
      </c>
      <c r="H2" s="94"/>
      <c r="I2" s="94" t="s">
        <v>118</v>
      </c>
      <c r="J2" s="95" t="s">
        <v>144</v>
      </c>
      <c r="K2" s="92" t="s">
        <v>145</v>
      </c>
      <c r="L2" s="96"/>
      <c r="M2" s="91"/>
      <c r="N2" s="92"/>
      <c r="O2" s="92"/>
    </row>
    <row r="3" spans="1:15" x14ac:dyDescent="0.25">
      <c r="A3" s="91" t="s">
        <v>33</v>
      </c>
      <c r="B3" s="92" t="s">
        <v>146</v>
      </c>
      <c r="C3" s="91" t="s">
        <v>109</v>
      </c>
      <c r="D3" s="91" t="s">
        <v>110</v>
      </c>
      <c r="E3" s="93" t="s">
        <v>118</v>
      </c>
      <c r="F3" s="93"/>
      <c r="G3" s="91"/>
      <c r="H3" s="94"/>
      <c r="I3" s="94" t="s">
        <v>118</v>
      </c>
      <c r="J3" s="95"/>
      <c r="K3" s="92"/>
      <c r="L3" s="96"/>
      <c r="M3" s="91"/>
      <c r="N3" s="92"/>
      <c r="O3" s="92"/>
    </row>
    <row r="4" spans="1:15" x14ac:dyDescent="0.25">
      <c r="A4" s="91" t="s">
        <v>33</v>
      </c>
      <c r="B4" s="92" t="s">
        <v>147</v>
      </c>
      <c r="C4" s="91" t="s">
        <v>109</v>
      </c>
      <c r="D4" s="91" t="s">
        <v>110</v>
      </c>
      <c r="E4" s="93" t="s">
        <v>118</v>
      </c>
      <c r="F4" s="93"/>
      <c r="G4" s="91"/>
      <c r="H4" s="94"/>
      <c r="I4" s="94" t="s">
        <v>118</v>
      </c>
      <c r="J4" s="95"/>
      <c r="K4" s="92"/>
      <c r="L4" s="96"/>
      <c r="M4" s="91"/>
      <c r="N4" s="92"/>
      <c r="O4" s="92"/>
    </row>
    <row r="5" spans="1:15" x14ac:dyDescent="0.25">
      <c r="A5" s="91" t="s">
        <v>33</v>
      </c>
      <c r="B5" s="92" t="s">
        <v>148</v>
      </c>
      <c r="C5" s="91" t="s">
        <v>109</v>
      </c>
      <c r="D5" s="91" t="s">
        <v>110</v>
      </c>
      <c r="E5" s="93" t="s">
        <v>118</v>
      </c>
      <c r="F5" s="93"/>
      <c r="G5" s="91"/>
      <c r="H5" s="94"/>
      <c r="I5" s="94" t="s">
        <v>118</v>
      </c>
      <c r="J5" s="95"/>
      <c r="K5" s="92"/>
      <c r="L5" s="96"/>
      <c r="M5" s="91"/>
      <c r="N5" s="92"/>
      <c r="O5" s="92"/>
    </row>
    <row r="6" spans="1:15" ht="60" x14ac:dyDescent="0.25">
      <c r="A6" s="91" t="s">
        <v>16</v>
      </c>
      <c r="B6" s="92" t="s">
        <v>149</v>
      </c>
      <c r="C6" s="91" t="s">
        <v>96</v>
      </c>
      <c r="D6" s="91" t="s">
        <v>110</v>
      </c>
      <c r="E6" s="93" t="s">
        <v>150</v>
      </c>
      <c r="F6" s="93"/>
      <c r="G6" s="91">
        <v>4</v>
      </c>
      <c r="H6" s="94"/>
      <c r="I6" s="94" t="s">
        <v>105</v>
      </c>
      <c r="J6" s="95" t="s">
        <v>151</v>
      </c>
      <c r="K6" s="92" t="s">
        <v>152</v>
      </c>
      <c r="L6" s="96"/>
      <c r="M6" s="91"/>
      <c r="N6" s="92"/>
      <c r="O6" s="92"/>
    </row>
    <row r="7" spans="1:15" x14ac:dyDescent="0.25">
      <c r="A7" s="91" t="s">
        <v>108</v>
      </c>
      <c r="B7" s="97" t="s">
        <v>153</v>
      </c>
      <c r="C7" s="91" t="s">
        <v>96</v>
      </c>
      <c r="D7" s="91" t="s">
        <v>116</v>
      </c>
      <c r="E7" s="93" t="s">
        <v>111</v>
      </c>
      <c r="F7" s="93"/>
      <c r="G7" s="91">
        <v>6</v>
      </c>
      <c r="H7" s="94"/>
      <c r="I7" s="94"/>
      <c r="J7" s="95" t="s">
        <v>154</v>
      </c>
      <c r="K7" s="92"/>
      <c r="L7" s="96"/>
      <c r="M7" s="91"/>
      <c r="N7" s="92"/>
      <c r="O7" s="92"/>
    </row>
    <row r="8" spans="1:15" x14ac:dyDescent="0.25">
      <c r="A8" s="91" t="s">
        <v>115</v>
      </c>
      <c r="B8" s="97" t="s">
        <v>155</v>
      </c>
      <c r="C8" s="91" t="s">
        <v>96</v>
      </c>
      <c r="D8" s="91" t="s">
        <v>97</v>
      </c>
      <c r="E8" s="93" t="s">
        <v>111</v>
      </c>
      <c r="F8" s="93"/>
      <c r="G8" s="91">
        <v>1</v>
      </c>
      <c r="H8" s="94"/>
      <c r="I8" s="94" t="s">
        <v>156</v>
      </c>
      <c r="J8" s="95"/>
      <c r="K8" s="92"/>
      <c r="L8" s="96"/>
      <c r="M8" s="91"/>
      <c r="N8" s="92"/>
      <c r="O8" s="92"/>
    </row>
    <row r="9" spans="1:15" x14ac:dyDescent="0.25">
      <c r="A9" s="91" t="s">
        <v>115</v>
      </c>
      <c r="B9" s="97" t="s">
        <v>157</v>
      </c>
      <c r="C9" s="91" t="s">
        <v>96</v>
      </c>
      <c r="D9" s="91" t="s">
        <v>97</v>
      </c>
      <c r="E9" s="93" t="s">
        <v>111</v>
      </c>
      <c r="F9" s="93"/>
      <c r="G9" s="91">
        <v>1</v>
      </c>
      <c r="H9" s="94"/>
      <c r="I9" s="94" t="s">
        <v>156</v>
      </c>
      <c r="J9" s="95"/>
      <c r="K9" s="92"/>
      <c r="L9" s="96"/>
      <c r="M9" s="91"/>
      <c r="N9" s="92"/>
      <c r="O9" s="92"/>
    </row>
    <row r="10" spans="1:15" ht="75" x14ac:dyDescent="0.25">
      <c r="A10" s="91" t="s">
        <v>33</v>
      </c>
      <c r="B10" s="92" t="s">
        <v>158</v>
      </c>
      <c r="C10" s="91" t="s">
        <v>109</v>
      </c>
      <c r="D10" s="91" t="s">
        <v>110</v>
      </c>
      <c r="E10" s="93" t="s">
        <v>159</v>
      </c>
      <c r="F10" s="93"/>
      <c r="G10" s="91" t="s">
        <v>111</v>
      </c>
      <c r="H10" s="94"/>
      <c r="I10" s="94" t="s">
        <v>156</v>
      </c>
      <c r="J10" s="95" t="s">
        <v>160</v>
      </c>
      <c r="K10" s="92" t="s">
        <v>161</v>
      </c>
      <c r="L10" s="96"/>
      <c r="M10" s="91"/>
      <c r="N10" s="92"/>
      <c r="O10" s="92"/>
    </row>
    <row r="11" spans="1:15" ht="75" x14ac:dyDescent="0.25">
      <c r="A11" s="91" t="s">
        <v>33</v>
      </c>
      <c r="B11" s="92" t="s">
        <v>162</v>
      </c>
      <c r="C11" s="91" t="s">
        <v>109</v>
      </c>
      <c r="D11" s="91" t="s">
        <v>110</v>
      </c>
      <c r="E11" s="93" t="s">
        <v>163</v>
      </c>
      <c r="F11" s="93"/>
      <c r="G11" s="91">
        <v>6</v>
      </c>
      <c r="H11" s="94"/>
      <c r="I11" s="94" t="s">
        <v>118</v>
      </c>
      <c r="J11" s="95" t="s">
        <v>164</v>
      </c>
      <c r="K11" s="92" t="s">
        <v>165</v>
      </c>
      <c r="L11" s="96"/>
      <c r="M11" s="91"/>
      <c r="N11" s="92"/>
      <c r="O11" s="92"/>
    </row>
    <row r="12" spans="1:15" ht="30" x14ac:dyDescent="0.25">
      <c r="A12" s="86" t="s">
        <v>115</v>
      </c>
      <c r="B12" s="98" t="s">
        <v>166</v>
      </c>
      <c r="C12" s="86" t="s">
        <v>96</v>
      </c>
      <c r="D12" s="86" t="s">
        <v>97</v>
      </c>
      <c r="E12" s="99" t="s">
        <v>167</v>
      </c>
      <c r="F12" s="99"/>
      <c r="G12" s="86">
        <v>1</v>
      </c>
      <c r="H12" s="91"/>
      <c r="I12" s="94" t="s">
        <v>156</v>
      </c>
      <c r="J12" s="98" t="s">
        <v>168</v>
      </c>
      <c r="K12" s="98"/>
      <c r="L12" s="100"/>
      <c r="M12" s="91"/>
      <c r="N12" s="98"/>
      <c r="O12" s="98"/>
    </row>
    <row r="13" spans="1:15" ht="90" x14ac:dyDescent="0.25">
      <c r="A13" s="86" t="s">
        <v>16</v>
      </c>
      <c r="B13" s="98" t="s">
        <v>169</v>
      </c>
      <c r="C13" s="86" t="s">
        <v>109</v>
      </c>
      <c r="D13" s="86" t="s">
        <v>110</v>
      </c>
      <c r="E13" s="99" t="s">
        <v>170</v>
      </c>
      <c r="F13" s="99"/>
      <c r="G13" s="86">
        <v>8</v>
      </c>
      <c r="H13" s="91"/>
      <c r="I13" s="94" t="s">
        <v>156</v>
      </c>
      <c r="J13" s="98" t="s">
        <v>171</v>
      </c>
      <c r="K13" s="98" t="s">
        <v>172</v>
      </c>
      <c r="L13" s="100"/>
      <c r="M13" s="91"/>
      <c r="N13" s="98"/>
      <c r="O13" s="98"/>
    </row>
    <row r="14" spans="1:15" ht="60" x14ac:dyDescent="0.25">
      <c r="A14" s="86" t="s">
        <v>33</v>
      </c>
      <c r="B14" s="98" t="s">
        <v>173</v>
      </c>
      <c r="C14" s="86" t="s">
        <v>109</v>
      </c>
      <c r="D14" s="86" t="s">
        <v>102</v>
      </c>
      <c r="E14" s="99" t="s">
        <v>111</v>
      </c>
      <c r="F14" s="99"/>
      <c r="G14" s="86">
        <v>2</v>
      </c>
      <c r="H14" s="94"/>
      <c r="I14" s="94" t="s">
        <v>99</v>
      </c>
      <c r="J14" s="98" t="s">
        <v>174</v>
      </c>
      <c r="K14" s="98" t="s">
        <v>175</v>
      </c>
      <c r="L14" s="100"/>
      <c r="M14" s="91"/>
      <c r="N14" s="98"/>
      <c r="O14" s="98"/>
    </row>
    <row r="15" spans="1:15" x14ac:dyDescent="0.25">
      <c r="A15" s="86"/>
      <c r="B15" s="101" t="s">
        <v>176</v>
      </c>
      <c r="C15" s="86"/>
      <c r="D15" s="86"/>
      <c r="E15" s="99"/>
      <c r="F15" s="99"/>
      <c r="G15" s="86"/>
      <c r="H15" s="91"/>
      <c r="I15" s="94" t="s">
        <v>99</v>
      </c>
      <c r="J15" s="98"/>
      <c r="K15" s="98"/>
      <c r="L15" s="100"/>
      <c r="M15" s="91"/>
      <c r="N15" s="98"/>
      <c r="O15" s="98"/>
    </row>
    <row r="16" spans="1:15" x14ac:dyDescent="0.25">
      <c r="A16" s="86"/>
      <c r="B16" s="101" t="s">
        <v>177</v>
      </c>
      <c r="C16" s="86"/>
      <c r="D16" s="86"/>
      <c r="E16" s="99"/>
      <c r="F16" s="99"/>
      <c r="G16" s="86"/>
      <c r="H16" s="91"/>
      <c r="I16" s="94" t="s">
        <v>99</v>
      </c>
      <c r="J16" s="98"/>
      <c r="K16" s="98"/>
      <c r="L16" s="100"/>
      <c r="M16" s="91"/>
      <c r="N16" s="98"/>
      <c r="O16" s="98"/>
    </row>
    <row r="17" spans="1:15" x14ac:dyDescent="0.25">
      <c r="A17" s="86"/>
      <c r="B17" s="101" t="s">
        <v>178</v>
      </c>
      <c r="C17" s="86"/>
      <c r="D17" s="86"/>
      <c r="E17" s="99"/>
      <c r="F17" s="99"/>
      <c r="G17" s="86"/>
      <c r="H17" s="102"/>
      <c r="I17" s="94" t="s">
        <v>99</v>
      </c>
      <c r="J17" s="98"/>
      <c r="K17" s="98"/>
      <c r="L17" s="100"/>
      <c r="M17" s="91"/>
      <c r="N17" s="98" t="s">
        <v>179</v>
      </c>
      <c r="O17" s="98"/>
    </row>
    <row r="18" spans="1:15" x14ac:dyDescent="0.25">
      <c r="A18" s="86" t="s">
        <v>33</v>
      </c>
      <c r="B18" s="98" t="s">
        <v>180</v>
      </c>
      <c r="C18" s="86" t="s">
        <v>109</v>
      </c>
      <c r="D18" s="86" t="s">
        <v>102</v>
      </c>
      <c r="E18" s="99" t="s">
        <v>111</v>
      </c>
      <c r="F18" s="99"/>
      <c r="G18" s="103">
        <v>2</v>
      </c>
      <c r="H18" s="86"/>
      <c r="I18" s="104" t="s">
        <v>99</v>
      </c>
      <c r="J18" s="98"/>
      <c r="K18" s="98"/>
      <c r="L18" s="100"/>
      <c r="M18" s="91"/>
      <c r="N18" s="98"/>
      <c r="O18" s="98"/>
    </row>
    <row r="19" spans="1:15" x14ac:dyDescent="0.25">
      <c r="A19" s="86"/>
      <c r="B19" s="98" t="s">
        <v>181</v>
      </c>
      <c r="C19" s="86" t="s">
        <v>96</v>
      </c>
      <c r="D19" s="86" t="s">
        <v>110</v>
      </c>
      <c r="E19" s="99" t="s">
        <v>111</v>
      </c>
      <c r="F19" s="99"/>
      <c r="G19" s="103">
        <v>4</v>
      </c>
      <c r="H19" s="86"/>
      <c r="I19" s="104" t="s">
        <v>156</v>
      </c>
      <c r="J19" s="98"/>
      <c r="K19" s="98"/>
      <c r="L19" s="100"/>
      <c r="M19" s="91"/>
      <c r="N19" s="105"/>
      <c r="O19" s="98"/>
    </row>
    <row r="20" spans="1:15" ht="75" x14ac:dyDescent="0.25">
      <c r="A20" s="86" t="s">
        <v>115</v>
      </c>
      <c r="B20" s="98" t="s">
        <v>182</v>
      </c>
      <c r="C20" s="86" t="s">
        <v>96</v>
      </c>
      <c r="D20" s="86" t="s">
        <v>102</v>
      </c>
      <c r="E20" s="99"/>
      <c r="F20" s="99"/>
      <c r="G20" s="103">
        <v>2</v>
      </c>
      <c r="H20" s="86"/>
      <c r="I20" s="104" t="s">
        <v>156</v>
      </c>
      <c r="J20" s="98" t="s">
        <v>183</v>
      </c>
      <c r="K20" s="98" t="s">
        <v>184</v>
      </c>
      <c r="L20" s="100"/>
      <c r="M20" s="91"/>
      <c r="N20" s="105"/>
      <c r="O20" s="98"/>
    </row>
    <row r="21" spans="1:15" ht="30" x14ac:dyDescent="0.25">
      <c r="A21" s="86" t="s">
        <v>33</v>
      </c>
      <c r="B21" s="98" t="s">
        <v>185</v>
      </c>
      <c r="C21" s="86" t="s">
        <v>96</v>
      </c>
      <c r="D21" s="86" t="s">
        <v>110</v>
      </c>
      <c r="E21" s="99" t="s">
        <v>186</v>
      </c>
      <c r="F21" s="99"/>
      <c r="G21" s="103">
        <v>1</v>
      </c>
      <c r="H21" s="86"/>
      <c r="I21" s="104" t="s">
        <v>105</v>
      </c>
      <c r="J21" s="98"/>
      <c r="K21" s="98"/>
      <c r="L21" s="100"/>
      <c r="M21" s="91"/>
      <c r="N21" s="105"/>
      <c r="O21" s="98"/>
    </row>
    <row r="22" spans="1:15" x14ac:dyDescent="0.25">
      <c r="A22" s="86" t="s">
        <v>16</v>
      </c>
      <c r="B22" s="98" t="s">
        <v>187</v>
      </c>
      <c r="C22" s="86" t="s">
        <v>96</v>
      </c>
      <c r="D22" s="86" t="s">
        <v>116</v>
      </c>
      <c r="E22" s="99" t="s">
        <v>188</v>
      </c>
      <c r="F22" s="99"/>
      <c r="G22" s="103">
        <v>3</v>
      </c>
      <c r="H22" s="86"/>
      <c r="I22" s="104"/>
      <c r="J22" s="98"/>
      <c r="K22" s="98"/>
      <c r="L22" s="100"/>
      <c r="M22" s="91"/>
      <c r="N22" s="105"/>
      <c r="O22" s="98"/>
    </row>
    <row r="23" spans="1:15" x14ac:dyDescent="0.25">
      <c r="A23" s="86"/>
      <c r="B23" s="98" t="s">
        <v>189</v>
      </c>
      <c r="C23" s="86"/>
      <c r="D23" s="86"/>
      <c r="E23" s="99"/>
      <c r="F23" s="99"/>
      <c r="G23" s="103"/>
      <c r="H23" s="86"/>
      <c r="I23" s="104"/>
      <c r="J23" s="98"/>
      <c r="K23" s="98"/>
      <c r="L23" s="100"/>
      <c r="M23" s="91"/>
      <c r="N23" s="105"/>
      <c r="O23" s="98"/>
    </row>
    <row r="24" spans="1:15" x14ac:dyDescent="0.25">
      <c r="A24" s="86" t="s">
        <v>20</v>
      </c>
      <c r="B24" s="98"/>
      <c r="C24" s="86" t="s">
        <v>20</v>
      </c>
      <c r="D24" s="86" t="s">
        <v>20</v>
      </c>
      <c r="E24" s="99"/>
      <c r="F24" s="99"/>
      <c r="G24" s="86"/>
      <c r="H24" s="91"/>
      <c r="I24" s="94" t="s">
        <v>190</v>
      </c>
      <c r="J24" s="98"/>
      <c r="K24" s="98"/>
      <c r="L24" s="100" t="s">
        <v>20</v>
      </c>
      <c r="M24" s="91"/>
      <c r="N24" s="105"/>
      <c r="O24" s="98"/>
    </row>
    <row r="25" spans="1:15" x14ac:dyDescent="0.25">
      <c r="A25" s="86" t="s">
        <v>20</v>
      </c>
      <c r="B25" s="98"/>
      <c r="C25" s="86" t="s">
        <v>20</v>
      </c>
      <c r="D25" s="86" t="s">
        <v>20</v>
      </c>
      <c r="E25" s="99"/>
      <c r="F25" s="99"/>
      <c r="G25" s="86"/>
      <c r="H25" s="91"/>
      <c r="I25" s="94" t="s">
        <v>190</v>
      </c>
      <c r="J25" s="98"/>
      <c r="K25" s="98"/>
      <c r="L25" s="100" t="s">
        <v>20</v>
      </c>
      <c r="M25" s="91"/>
      <c r="N25" s="105"/>
      <c r="O25" s="98"/>
    </row>
    <row r="28" spans="1:15" x14ac:dyDescent="0.25">
      <c r="B28" s="76" t="s">
        <v>49</v>
      </c>
      <c r="G28" s="106">
        <f>SUM(G2:G25)</f>
        <v>49</v>
      </c>
      <c r="H28" s="107"/>
      <c r="L28" s="76"/>
    </row>
    <row r="29" spans="1:15" x14ac:dyDescent="0.25">
      <c r="B29" s="77" t="s">
        <v>50</v>
      </c>
      <c r="G29" s="99">
        <f xml:space="preserve"> SUMIF(L2:L25, "Yes",G2:G25)</f>
        <v>0</v>
      </c>
      <c r="H29" s="108"/>
      <c r="L29" s="77"/>
    </row>
    <row r="30" spans="1:15" x14ac:dyDescent="0.25">
      <c r="B30" s="76" t="s">
        <v>51</v>
      </c>
      <c r="G30" s="109">
        <v>48</v>
      </c>
      <c r="H30" s="107"/>
      <c r="L30" s="76"/>
    </row>
    <row r="31" spans="1:15" x14ac:dyDescent="0.25">
      <c r="B31" s="77" t="s">
        <v>52</v>
      </c>
      <c r="G31" s="110">
        <f>MAX(0, MIN(100, G29-G30))</f>
        <v>0</v>
      </c>
      <c r="H31" s="107"/>
      <c r="L31" s="77"/>
    </row>
    <row r="32" spans="1:15" x14ac:dyDescent="0.25">
      <c r="B32" s="78"/>
      <c r="G32" s="107"/>
      <c r="H32" s="107"/>
      <c r="L32" s="78"/>
    </row>
    <row r="33" spans="2:12" x14ac:dyDescent="0.25">
      <c r="B33" s="77" t="s">
        <v>53</v>
      </c>
      <c r="G33" s="110"/>
      <c r="H33" s="107"/>
      <c r="L33" s="77"/>
    </row>
    <row r="34" spans="2:12" x14ac:dyDescent="0.25">
      <c r="B34" s="77" t="s">
        <v>54</v>
      </c>
      <c r="G34" s="110"/>
      <c r="H34" s="107"/>
      <c r="L34" s="77"/>
    </row>
    <row r="35" spans="2:12" x14ac:dyDescent="0.25">
      <c r="B35" s="77" t="s">
        <v>55</v>
      </c>
      <c r="G35" s="110"/>
      <c r="H35" s="107"/>
      <c r="L35" s="77"/>
    </row>
    <row r="36" spans="2:12" x14ac:dyDescent="0.25">
      <c r="B36" s="76" t="s">
        <v>56</v>
      </c>
      <c r="G36" s="110"/>
      <c r="H36" s="107"/>
      <c r="L36" s="76"/>
    </row>
    <row r="37" spans="2:12" x14ac:dyDescent="0.25">
      <c r="B37" s="77" t="s">
        <v>57</v>
      </c>
      <c r="G37" s="110"/>
      <c r="H37" s="107"/>
      <c r="L37" s="77"/>
    </row>
  </sheetData>
  <conditionalFormatting sqref="G31:H31">
    <cfRule type="cellIs" dxfId="32" priority="1" operator="greaterThan">
      <formula>0</formula>
    </cfRule>
    <cfRule type="cellIs" dxfId="31" priority="2" operator="equal">
      <formula>0</formula>
    </cfRule>
  </conditionalFormatting>
  <dataValidations count="4">
    <dataValidation allowBlank="1" showInputMessage="1" showErrorMessage="1" sqref="D1:E1" xr:uid="{FAE46A4E-B736-453A-9664-07AF8C18C472}"/>
    <dataValidation type="list" allowBlank="1" showInputMessage="1" showErrorMessage="1" sqref="I2:I37" xr:uid="{26C1B39B-0725-4AE3-BA60-1A5BC5134BF3}">
      <formula1>"KTLO,Growth,Business enablement,Modernization"</formula1>
    </dataValidation>
    <dataValidation type="list" allowBlank="1" showInputMessage="1" showErrorMessage="1" sqref="C2:C37" xr:uid="{1F7F52CE-4C8B-4B3E-A0FF-7B0E72E5F110}">
      <formula1>"Conversion,Bad actors accuracy,Efficiency"</formula1>
    </dataValidation>
    <dataValidation type="list" allowBlank="1" showInputMessage="1" showErrorMessage="1" sqref="D2:D37" xr:uid="{EF6D325C-0E9E-478A-805A-4FCC9C75A8AF}">
      <formula1>"KYC Approval Rate,Coverage,100% Compliant,Reduce Friction"</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13B09-C9E1-429F-AC01-42F1A3FDC5DC}">
  <sheetPr>
    <tabColor rgb="FFFFC000"/>
  </sheetPr>
  <dimension ref="A1:P61"/>
  <sheetViews>
    <sheetView workbookViewId="0">
      <selection activeCell="F3" sqref="F3"/>
    </sheetView>
  </sheetViews>
  <sheetFormatPr defaultRowHeight="15.75" customHeight="1" x14ac:dyDescent="0.25"/>
  <cols>
    <col min="1" max="1" width="19.75" customWidth="1"/>
    <col min="2" max="2" width="33.125" customWidth="1"/>
    <col min="3" max="3" width="0" hidden="1" customWidth="1"/>
    <col min="4" max="4" width="35.25" customWidth="1"/>
    <col min="5" max="5" width="0" hidden="1" customWidth="1"/>
    <col min="6" max="6" width="17.625" customWidth="1"/>
    <col min="7" max="7" width="26.375" customWidth="1"/>
    <col min="8" max="8" width="40" customWidth="1"/>
    <col min="9" max="10" width="0" hidden="1" customWidth="1"/>
    <col min="11" max="11" width="9" bestFit="1" customWidth="1"/>
    <col min="12" max="12" width="8.125" customWidth="1"/>
    <col min="13" max="13" width="24.375" customWidth="1"/>
    <col min="14" max="14" width="17.75" style="112" customWidth="1"/>
    <col min="15" max="15" width="18" bestFit="1" customWidth="1"/>
  </cols>
  <sheetData>
    <row r="1" spans="1:16" ht="48" thickBot="1" x14ac:dyDescent="0.3">
      <c r="A1" s="113" t="s">
        <v>0</v>
      </c>
      <c r="B1" s="113" t="s">
        <v>2</v>
      </c>
      <c r="C1" s="113" t="s">
        <v>4</v>
      </c>
      <c r="D1" s="113" t="s">
        <v>5</v>
      </c>
      <c r="E1" s="113" t="s">
        <v>6</v>
      </c>
      <c r="F1" s="113" t="s">
        <v>7</v>
      </c>
      <c r="G1" s="113" t="s">
        <v>8</v>
      </c>
      <c r="H1" s="113" t="s">
        <v>191</v>
      </c>
      <c r="I1" s="113" t="s">
        <v>192</v>
      </c>
      <c r="J1" s="113" t="s">
        <v>11</v>
      </c>
      <c r="K1" s="113" t="s">
        <v>12</v>
      </c>
      <c r="L1" s="113" t="s">
        <v>13</v>
      </c>
      <c r="M1" s="114" t="s">
        <v>193</v>
      </c>
      <c r="N1" s="114" t="s">
        <v>194</v>
      </c>
      <c r="O1" s="114" t="s">
        <v>15</v>
      </c>
    </row>
    <row r="2" spans="1:16" x14ac:dyDescent="0.25">
      <c r="A2" s="115" t="s">
        <v>16</v>
      </c>
      <c r="B2" s="116" t="s">
        <v>195</v>
      </c>
      <c r="C2" s="117"/>
      <c r="D2" s="116"/>
      <c r="E2" s="118"/>
      <c r="F2" s="115" t="s">
        <v>118</v>
      </c>
      <c r="G2" s="119" t="s">
        <v>154</v>
      </c>
      <c r="H2" s="120"/>
      <c r="I2" s="120"/>
      <c r="J2" s="121"/>
      <c r="K2" s="119"/>
      <c r="L2" s="115"/>
      <c r="M2" s="116"/>
      <c r="N2" s="122"/>
      <c r="O2" s="116"/>
    </row>
    <row r="3" spans="1:16" ht="31.5" x14ac:dyDescent="0.25">
      <c r="A3" s="115" t="s">
        <v>16</v>
      </c>
      <c r="B3" s="116" t="s">
        <v>196</v>
      </c>
      <c r="C3" s="117"/>
      <c r="D3" s="116" t="s">
        <v>197</v>
      </c>
      <c r="E3" s="118"/>
      <c r="F3" s="115" t="s">
        <v>118</v>
      </c>
      <c r="G3" s="119" t="s">
        <v>154</v>
      </c>
      <c r="H3" s="120"/>
      <c r="I3" s="120"/>
      <c r="J3" s="121"/>
      <c r="K3" s="119"/>
      <c r="L3" s="115"/>
      <c r="M3" s="116"/>
      <c r="N3" s="123"/>
      <c r="O3" s="116"/>
    </row>
    <row r="4" spans="1:16" x14ac:dyDescent="0.25">
      <c r="A4" s="115" t="s">
        <v>198</v>
      </c>
      <c r="B4" s="116" t="s">
        <v>199</v>
      </c>
      <c r="C4" s="117"/>
      <c r="D4" s="116"/>
      <c r="E4" s="118"/>
      <c r="F4" s="115" t="s">
        <v>118</v>
      </c>
      <c r="G4" s="119" t="s">
        <v>154</v>
      </c>
      <c r="H4" s="120"/>
      <c r="I4" s="120"/>
      <c r="J4" s="121"/>
      <c r="K4" s="119"/>
      <c r="L4" s="115"/>
      <c r="M4" s="116"/>
      <c r="N4" s="122"/>
      <c r="O4" s="116"/>
    </row>
    <row r="5" spans="1:16" ht="31.5" x14ac:dyDescent="0.25">
      <c r="A5" s="115" t="s">
        <v>16</v>
      </c>
      <c r="B5" s="118" t="s">
        <v>200</v>
      </c>
      <c r="C5" s="117"/>
      <c r="D5" s="118" t="s">
        <v>201</v>
      </c>
      <c r="E5" s="123"/>
      <c r="F5" s="115" t="s">
        <v>118</v>
      </c>
      <c r="G5" s="115" t="s">
        <v>154</v>
      </c>
      <c r="H5" s="115"/>
      <c r="I5" s="120"/>
      <c r="J5" s="120"/>
      <c r="K5" s="121"/>
      <c r="L5" s="119"/>
      <c r="M5" s="115"/>
      <c r="N5" s="118"/>
      <c r="O5" s="118"/>
      <c r="P5" s="124"/>
    </row>
    <row r="6" spans="1:16" ht="31.5" x14ac:dyDescent="0.25">
      <c r="A6" s="125" t="s">
        <v>16</v>
      </c>
      <c r="B6" s="126" t="s">
        <v>202</v>
      </c>
      <c r="C6" s="127"/>
      <c r="D6" s="126" t="s">
        <v>203</v>
      </c>
      <c r="E6" s="118"/>
      <c r="F6" s="115" t="s">
        <v>118</v>
      </c>
      <c r="G6" s="119" t="s">
        <v>204</v>
      </c>
      <c r="H6" s="119"/>
      <c r="I6" s="120"/>
      <c r="J6" s="128"/>
      <c r="K6" s="119" t="s">
        <v>154</v>
      </c>
      <c r="L6" s="115"/>
      <c r="M6" s="116" t="s">
        <v>205</v>
      </c>
      <c r="N6" s="123"/>
      <c r="O6" s="116"/>
    </row>
    <row r="7" spans="1:16" x14ac:dyDescent="0.25">
      <c r="A7" s="115" t="s">
        <v>16</v>
      </c>
      <c r="B7" s="118" t="s">
        <v>206</v>
      </c>
      <c r="C7" s="117"/>
      <c r="D7" s="118" t="s">
        <v>207</v>
      </c>
      <c r="E7" s="118"/>
      <c r="F7" s="115" t="s">
        <v>208</v>
      </c>
      <c r="G7" s="115" t="s">
        <v>209</v>
      </c>
      <c r="H7" s="129">
        <v>1.2E-2</v>
      </c>
      <c r="I7" s="117"/>
      <c r="J7" s="121"/>
      <c r="K7" s="115"/>
      <c r="L7" s="115"/>
      <c r="M7" s="118"/>
      <c r="N7" s="130"/>
      <c r="O7" s="118"/>
    </row>
    <row r="8" spans="1:16" x14ac:dyDescent="0.25">
      <c r="A8" s="115" t="s">
        <v>16</v>
      </c>
      <c r="B8" s="118" t="s">
        <v>210</v>
      </c>
      <c r="C8" s="117"/>
      <c r="D8" s="118" t="s">
        <v>207</v>
      </c>
      <c r="E8" s="118"/>
      <c r="F8" s="115" t="s">
        <v>208</v>
      </c>
      <c r="G8" s="115" t="s">
        <v>209</v>
      </c>
      <c r="H8" s="120" t="s">
        <v>211</v>
      </c>
      <c r="I8" s="117"/>
      <c r="J8" s="121"/>
      <c r="K8" s="115"/>
      <c r="L8" s="115"/>
      <c r="M8" s="118"/>
      <c r="N8" s="130"/>
      <c r="O8" s="118"/>
    </row>
    <row r="9" spans="1:16" ht="47.25" x14ac:dyDescent="0.25">
      <c r="A9" s="115" t="s">
        <v>212</v>
      </c>
      <c r="B9" s="118" t="s">
        <v>213</v>
      </c>
      <c r="C9" s="117"/>
      <c r="D9" s="118" t="s">
        <v>214</v>
      </c>
      <c r="E9" s="118"/>
      <c r="F9" s="115" t="s">
        <v>208</v>
      </c>
      <c r="G9" s="115" t="s">
        <v>209</v>
      </c>
      <c r="H9" s="117" t="s">
        <v>215</v>
      </c>
      <c r="I9" s="117"/>
      <c r="J9" s="121"/>
      <c r="K9" s="115" t="s">
        <v>154</v>
      </c>
      <c r="L9" s="115"/>
      <c r="M9" s="118" t="s">
        <v>216</v>
      </c>
      <c r="N9" s="118"/>
      <c r="O9" s="118"/>
    </row>
    <row r="10" spans="1:16" ht="47.25" x14ac:dyDescent="0.25">
      <c r="A10" s="115" t="s">
        <v>212</v>
      </c>
      <c r="B10" s="118" t="s">
        <v>213</v>
      </c>
      <c r="C10" s="117"/>
      <c r="D10" s="118" t="s">
        <v>217</v>
      </c>
      <c r="E10" s="118"/>
      <c r="F10" s="115" t="s">
        <v>208</v>
      </c>
      <c r="G10" s="115" t="s">
        <v>209</v>
      </c>
      <c r="H10" s="120" t="s">
        <v>111</v>
      </c>
      <c r="I10" s="120"/>
      <c r="J10" s="121"/>
      <c r="K10" s="119" t="s">
        <v>154</v>
      </c>
      <c r="L10" s="115"/>
      <c r="M10" s="118" t="s">
        <v>216</v>
      </c>
      <c r="N10" s="123"/>
      <c r="O10" s="116"/>
    </row>
    <row r="11" spans="1:16" ht="31.5" x14ac:dyDescent="0.25">
      <c r="A11" s="115" t="s">
        <v>212</v>
      </c>
      <c r="B11" s="126" t="s">
        <v>218</v>
      </c>
      <c r="C11" s="117"/>
      <c r="D11" s="116" t="s">
        <v>219</v>
      </c>
      <c r="E11" s="118"/>
      <c r="F11" s="115" t="s">
        <v>208</v>
      </c>
      <c r="G11" s="115" t="s">
        <v>209</v>
      </c>
      <c r="H11" s="120" t="s">
        <v>220</v>
      </c>
      <c r="I11" s="120"/>
      <c r="J11" s="121"/>
      <c r="K11" s="119"/>
      <c r="L11" s="115"/>
      <c r="M11" s="116"/>
      <c r="N11" s="122"/>
      <c r="O11" s="116"/>
    </row>
    <row r="12" spans="1:16" x14ac:dyDescent="0.25">
      <c r="A12" s="115" t="s">
        <v>221</v>
      </c>
      <c r="B12" s="116" t="s">
        <v>222</v>
      </c>
      <c r="C12" s="117"/>
      <c r="D12" s="116" t="s">
        <v>223</v>
      </c>
      <c r="E12" s="118"/>
      <c r="F12" s="115" t="s">
        <v>208</v>
      </c>
      <c r="G12" s="115" t="s">
        <v>209</v>
      </c>
      <c r="H12" s="131" t="s">
        <v>224</v>
      </c>
      <c r="I12" s="120"/>
      <c r="J12" s="121"/>
      <c r="K12" s="119"/>
      <c r="L12" s="115"/>
      <c r="M12" s="116"/>
      <c r="N12" s="122"/>
      <c r="O12" s="116"/>
    </row>
    <row r="13" spans="1:16" x14ac:dyDescent="0.25">
      <c r="A13" s="115" t="s">
        <v>33</v>
      </c>
      <c r="B13" s="116" t="s">
        <v>225</v>
      </c>
      <c r="C13" s="117"/>
      <c r="D13" s="116"/>
      <c r="E13" s="118"/>
      <c r="F13" s="115" t="s">
        <v>208</v>
      </c>
      <c r="G13" s="115" t="s">
        <v>209</v>
      </c>
      <c r="H13" s="120" t="s">
        <v>226</v>
      </c>
      <c r="I13" s="120"/>
      <c r="J13" s="121"/>
      <c r="K13" s="119"/>
      <c r="L13" s="115"/>
      <c r="M13" s="116"/>
      <c r="N13" s="122"/>
      <c r="O13" s="116"/>
    </row>
    <row r="14" spans="1:16" x14ac:dyDescent="0.25">
      <c r="A14" s="115" t="s">
        <v>33</v>
      </c>
      <c r="B14" s="116" t="s">
        <v>227</v>
      </c>
      <c r="C14" s="117"/>
      <c r="D14" s="116"/>
      <c r="E14" s="118"/>
      <c r="F14" s="115" t="s">
        <v>154</v>
      </c>
      <c r="G14" s="115" t="s">
        <v>154</v>
      </c>
      <c r="H14" s="120"/>
      <c r="I14" s="120"/>
      <c r="J14" s="121"/>
      <c r="K14" s="119"/>
      <c r="L14" s="115"/>
      <c r="M14" s="116"/>
      <c r="N14" s="122"/>
      <c r="O14" s="116"/>
    </row>
    <row r="15" spans="1:16" ht="31.5" x14ac:dyDescent="0.25">
      <c r="A15" s="115" t="s">
        <v>228</v>
      </c>
      <c r="B15" s="116" t="s">
        <v>229</v>
      </c>
      <c r="C15" s="117"/>
      <c r="D15" s="116"/>
      <c r="E15" s="118"/>
      <c r="F15" s="115" t="s">
        <v>208</v>
      </c>
      <c r="G15" s="115" t="s">
        <v>209</v>
      </c>
      <c r="H15" s="120" t="s">
        <v>230</v>
      </c>
      <c r="I15" s="120"/>
      <c r="J15" s="121"/>
      <c r="K15" s="119"/>
      <c r="L15" s="115"/>
      <c r="M15" s="116" t="s">
        <v>231</v>
      </c>
      <c r="N15" s="122"/>
      <c r="O15" s="116"/>
    </row>
    <row r="16" spans="1:16" x14ac:dyDescent="0.25">
      <c r="A16" s="115" t="s">
        <v>33</v>
      </c>
      <c r="B16" s="116" t="s">
        <v>232</v>
      </c>
      <c r="C16" s="117"/>
      <c r="D16" s="116"/>
      <c r="E16" s="118"/>
      <c r="F16" s="115" t="s">
        <v>208</v>
      </c>
      <c r="G16" s="115" t="s">
        <v>209</v>
      </c>
      <c r="H16" s="131" t="s">
        <v>233</v>
      </c>
      <c r="I16" s="120"/>
      <c r="J16" s="121"/>
      <c r="K16" s="119"/>
      <c r="L16" s="115"/>
      <c r="M16" s="116"/>
      <c r="N16" s="122"/>
      <c r="O16" s="116"/>
    </row>
    <row r="17" spans="1:15" x14ac:dyDescent="0.25">
      <c r="A17" s="115" t="s">
        <v>33</v>
      </c>
      <c r="B17" s="116" t="s">
        <v>234</v>
      </c>
      <c r="C17" s="117"/>
      <c r="D17" s="116" t="s">
        <v>235</v>
      </c>
      <c r="E17" s="118"/>
      <c r="F17" s="119"/>
      <c r="G17" s="119"/>
      <c r="H17" s="120"/>
      <c r="I17" s="120"/>
      <c r="J17" s="121"/>
      <c r="K17" s="119"/>
      <c r="L17" s="115"/>
      <c r="M17" s="116"/>
      <c r="N17" s="122"/>
      <c r="O17" s="116"/>
    </row>
    <row r="18" spans="1:15" x14ac:dyDescent="0.25">
      <c r="A18" s="115"/>
      <c r="B18" s="116" t="s">
        <v>236</v>
      </c>
      <c r="C18" s="117"/>
      <c r="D18" s="116"/>
      <c r="E18" s="118"/>
      <c r="F18" s="119"/>
      <c r="G18" s="119"/>
      <c r="H18" s="120"/>
      <c r="I18" s="120"/>
      <c r="J18" s="128"/>
      <c r="K18" s="119"/>
      <c r="L18" s="115"/>
      <c r="M18" s="116"/>
      <c r="N18" s="123"/>
      <c r="O18" s="116"/>
    </row>
    <row r="19" spans="1:15" x14ac:dyDescent="0.25">
      <c r="A19" s="115"/>
      <c r="B19" s="116" t="s">
        <v>237</v>
      </c>
      <c r="C19" s="117"/>
      <c r="D19" s="116"/>
      <c r="E19" s="118"/>
      <c r="F19" s="119"/>
      <c r="G19" s="119"/>
      <c r="H19" s="120"/>
      <c r="I19" s="120"/>
      <c r="J19" s="121"/>
      <c r="K19" s="119"/>
      <c r="L19" s="115"/>
      <c r="M19" s="116"/>
      <c r="N19" s="123"/>
      <c r="O19" s="116"/>
    </row>
    <row r="20" spans="1:15" ht="31.5" x14ac:dyDescent="0.25">
      <c r="A20" s="115"/>
      <c r="B20" s="116" t="s">
        <v>238</v>
      </c>
      <c r="C20" s="117"/>
      <c r="D20" s="116"/>
      <c r="E20" s="118"/>
      <c r="F20" s="115" t="s">
        <v>208</v>
      </c>
      <c r="G20" s="117" t="s">
        <v>239</v>
      </c>
      <c r="H20" s="120" t="s">
        <v>111</v>
      </c>
      <c r="I20" s="120"/>
      <c r="J20" s="121"/>
      <c r="K20" s="119"/>
      <c r="L20" s="115"/>
      <c r="M20" s="116"/>
      <c r="N20" s="122"/>
      <c r="O20" s="116"/>
    </row>
    <row r="21" spans="1:15" x14ac:dyDescent="0.25">
      <c r="A21" s="115"/>
      <c r="B21" s="116" t="s">
        <v>240</v>
      </c>
      <c r="C21" s="117"/>
      <c r="D21" s="116" t="s">
        <v>241</v>
      </c>
      <c r="E21" s="118"/>
      <c r="F21" s="119"/>
      <c r="G21" s="119"/>
      <c r="H21" s="120" t="s">
        <v>154</v>
      </c>
      <c r="I21" s="120"/>
      <c r="J21" s="121"/>
      <c r="K21" s="132"/>
      <c r="L21" s="115"/>
      <c r="M21" s="133"/>
      <c r="N21" s="122"/>
      <c r="O21" s="116"/>
    </row>
    <row r="22" spans="1:15" s="111" customFormat="1" x14ac:dyDescent="0.25">
      <c r="A22" s="115"/>
      <c r="B22" s="111" t="s">
        <v>242</v>
      </c>
      <c r="C22" s="117"/>
      <c r="D22" s="116" t="s">
        <v>243</v>
      </c>
      <c r="E22" s="118"/>
      <c r="F22" s="119"/>
      <c r="G22" s="119"/>
      <c r="H22" s="134" t="s">
        <v>111</v>
      </c>
      <c r="I22" s="120"/>
      <c r="J22" s="121"/>
      <c r="K22" s="132"/>
      <c r="L22" s="115"/>
      <c r="M22" s="133"/>
      <c r="N22" s="122"/>
      <c r="O22" s="116"/>
    </row>
    <row r="23" spans="1:15" s="111" customFormat="1" x14ac:dyDescent="0.25">
      <c r="A23" s="115"/>
      <c r="B23" s="124" t="s">
        <v>244</v>
      </c>
      <c r="C23" s="117"/>
      <c r="D23" s="116"/>
      <c r="E23" s="118"/>
      <c r="F23" s="119"/>
      <c r="G23" s="119"/>
      <c r="H23" s="134" t="s">
        <v>111</v>
      </c>
      <c r="I23" s="120"/>
      <c r="J23" s="121"/>
      <c r="K23" s="132"/>
      <c r="L23" s="115"/>
      <c r="M23" s="133"/>
      <c r="N23" s="122"/>
      <c r="O23" s="116"/>
    </row>
    <row r="24" spans="1:15" x14ac:dyDescent="0.25">
      <c r="A24" s="115"/>
      <c r="B24" s="135"/>
      <c r="C24" s="117"/>
      <c r="D24" s="116"/>
      <c r="E24" s="118"/>
      <c r="F24" s="119"/>
      <c r="G24" s="119"/>
      <c r="H24" s="120"/>
      <c r="I24" s="120"/>
      <c r="J24" s="121"/>
      <c r="K24" s="132"/>
      <c r="L24" s="115"/>
      <c r="M24" s="133"/>
      <c r="N24" s="122"/>
      <c r="O24" s="116"/>
    </row>
    <row r="25" spans="1:15" x14ac:dyDescent="0.25">
      <c r="A25" s="86"/>
      <c r="B25" s="98"/>
      <c r="C25" s="94"/>
      <c r="D25" s="98"/>
      <c r="E25" s="92"/>
      <c r="F25" s="86"/>
      <c r="G25" s="86"/>
      <c r="H25" s="99"/>
      <c r="I25" s="99"/>
      <c r="J25" s="100"/>
      <c r="K25" s="136"/>
      <c r="L25" s="91"/>
      <c r="M25" s="105"/>
      <c r="N25" s="137"/>
      <c r="O25" s="98"/>
    </row>
    <row r="26" spans="1:15" x14ac:dyDescent="0.25">
      <c r="A26" s="138"/>
      <c r="C26" s="139"/>
      <c r="D26" s="124"/>
      <c r="E26" s="140"/>
      <c r="F26" s="141"/>
      <c r="G26" s="141"/>
      <c r="H26" s="142"/>
      <c r="I26" s="142"/>
      <c r="J26" s="143"/>
      <c r="K26" s="141"/>
      <c r="L26" s="138"/>
      <c r="M26" s="124"/>
      <c r="N26" s="144"/>
      <c r="O26" s="124"/>
    </row>
    <row r="27" spans="1:15" ht="31.5" x14ac:dyDescent="0.25">
      <c r="A27" s="138"/>
      <c r="B27" s="124" t="s">
        <v>245</v>
      </c>
      <c r="C27" s="139"/>
      <c r="D27" s="124" t="s">
        <v>246</v>
      </c>
      <c r="E27" s="140"/>
      <c r="F27" s="138" t="s">
        <v>118</v>
      </c>
      <c r="G27" s="141"/>
      <c r="H27" s="142"/>
      <c r="I27" s="142"/>
      <c r="J27" s="145"/>
      <c r="K27" s="141"/>
      <c r="L27" s="138"/>
      <c r="M27" s="124"/>
      <c r="N27" s="144"/>
      <c r="O27" s="124"/>
    </row>
    <row r="28" spans="1:15" ht="31.5" x14ac:dyDescent="0.25">
      <c r="A28" s="138"/>
      <c r="B28" s="124" t="s">
        <v>247</v>
      </c>
      <c r="C28" s="139"/>
      <c r="D28" s="124" t="s">
        <v>248</v>
      </c>
      <c r="E28" s="140"/>
      <c r="F28" s="141"/>
      <c r="G28" s="141"/>
      <c r="H28" s="142"/>
      <c r="I28" s="142"/>
      <c r="J28" s="143"/>
      <c r="K28" s="141"/>
      <c r="L28" s="138"/>
      <c r="M28" s="124"/>
      <c r="N28" s="144"/>
      <c r="O28" s="124"/>
    </row>
    <row r="29" spans="1:15" x14ac:dyDescent="0.25">
      <c r="A29" s="141"/>
      <c r="B29" s="124" t="s">
        <v>249</v>
      </c>
      <c r="C29" s="139"/>
      <c r="D29" s="124"/>
      <c r="E29" s="140"/>
      <c r="F29" s="141"/>
      <c r="G29" s="141"/>
      <c r="H29" s="142"/>
      <c r="I29" s="142"/>
      <c r="J29" s="143"/>
      <c r="K29" s="141"/>
      <c r="L29" s="138"/>
      <c r="M29" s="124"/>
      <c r="N29" s="144"/>
      <c r="O29" s="124"/>
    </row>
    <row r="30" spans="1:15" x14ac:dyDescent="0.25">
      <c r="A30" s="86"/>
      <c r="B30" s="98"/>
      <c r="C30" s="94"/>
      <c r="D30" s="98"/>
      <c r="E30" s="92"/>
      <c r="F30" s="86"/>
      <c r="G30" s="86"/>
      <c r="H30" s="99"/>
      <c r="I30" s="99"/>
      <c r="J30" s="100"/>
      <c r="K30" s="86"/>
      <c r="L30" s="91"/>
      <c r="M30" s="98"/>
      <c r="N30" s="137"/>
      <c r="O30" s="98"/>
    </row>
    <row r="31" spans="1:15" x14ac:dyDescent="0.25">
      <c r="A31" s="86"/>
      <c r="B31" s="98"/>
      <c r="C31" s="94"/>
      <c r="D31" s="98"/>
      <c r="E31" s="92"/>
      <c r="F31" s="86"/>
      <c r="G31" s="86"/>
      <c r="H31" s="99"/>
      <c r="I31" s="99"/>
      <c r="J31" s="100"/>
      <c r="K31" s="136"/>
      <c r="L31" s="91"/>
      <c r="M31" s="98"/>
      <c r="N31" s="137"/>
      <c r="O31" s="98"/>
    </row>
    <row r="32" spans="1:15" x14ac:dyDescent="0.25">
      <c r="A32" s="86"/>
      <c r="B32" s="98"/>
      <c r="C32" s="94"/>
      <c r="D32" s="98"/>
      <c r="E32" s="92"/>
      <c r="F32" s="86"/>
      <c r="G32" s="86"/>
      <c r="H32" s="99"/>
      <c r="I32" s="99"/>
      <c r="J32" s="100"/>
      <c r="K32" s="136"/>
      <c r="L32" s="91"/>
      <c r="M32" s="105"/>
      <c r="N32" s="137"/>
      <c r="O32" s="98"/>
    </row>
    <row r="33" spans="1:15" x14ac:dyDescent="0.25">
      <c r="A33" s="86"/>
      <c r="B33" s="98"/>
      <c r="C33" s="94"/>
      <c r="D33" s="98"/>
      <c r="E33" s="92"/>
      <c r="F33" s="86"/>
      <c r="G33" s="86"/>
      <c r="H33" s="99"/>
      <c r="I33" s="99"/>
      <c r="J33" s="100"/>
      <c r="K33" s="136"/>
      <c r="L33" s="91"/>
      <c r="M33" s="105"/>
      <c r="N33" s="137"/>
      <c r="O33" s="98"/>
    </row>
    <row r="34" spans="1:15" x14ac:dyDescent="0.25">
      <c r="A34" s="86"/>
      <c r="B34" s="98"/>
      <c r="C34" s="94"/>
      <c r="D34" s="98"/>
      <c r="E34" s="92"/>
      <c r="F34" s="86"/>
      <c r="G34" s="86"/>
      <c r="H34" s="99"/>
      <c r="I34" s="99"/>
      <c r="J34" s="100"/>
      <c r="K34" s="136"/>
      <c r="L34" s="91"/>
      <c r="M34" s="105"/>
      <c r="N34" s="137"/>
      <c r="O34" s="98"/>
    </row>
    <row r="35" spans="1:15" x14ac:dyDescent="0.25"/>
    <row r="36" spans="1:15" x14ac:dyDescent="0.25"/>
    <row r="37" spans="1:15" x14ac:dyDescent="0.25">
      <c r="J37" s="76" t="s">
        <v>49</v>
      </c>
      <c r="K37" s="106">
        <f>SUM(K9:K34)</f>
        <v>0</v>
      </c>
    </row>
    <row r="38" spans="1:15" x14ac:dyDescent="0.25">
      <c r="J38" s="77" t="s">
        <v>50</v>
      </c>
      <c r="K38" s="99">
        <f xml:space="preserve"> SUMIF(J9:J34, "Yes",K9:K34)</f>
        <v>0</v>
      </c>
    </row>
    <row r="39" spans="1:15" x14ac:dyDescent="0.25">
      <c r="J39" s="76" t="s">
        <v>51</v>
      </c>
      <c r="K39" s="109">
        <f>FLOOR((((K43-(K43*K44)-K46)*K42)-(((K43-(K43*K44)-K46)*K42)*K45)),1)</f>
        <v>48</v>
      </c>
    </row>
    <row r="40" spans="1:15" x14ac:dyDescent="0.25">
      <c r="J40" s="77" t="s">
        <v>52</v>
      </c>
      <c r="K40" s="110">
        <f>MAX(0, MIN(100, K38-K39))</f>
        <v>0</v>
      </c>
    </row>
    <row r="41" spans="1:15" x14ac:dyDescent="0.25">
      <c r="J41" s="78"/>
      <c r="K41" s="107"/>
    </row>
    <row r="42" spans="1:15" x14ac:dyDescent="0.25">
      <c r="J42" s="77" t="s">
        <v>53</v>
      </c>
      <c r="K42" s="110">
        <v>5</v>
      </c>
    </row>
    <row r="43" spans="1:15" x14ac:dyDescent="0.25">
      <c r="J43" s="77" t="s">
        <v>54</v>
      </c>
      <c r="K43" s="110">
        <v>13</v>
      </c>
    </row>
    <row r="44" spans="1:15" x14ac:dyDescent="0.25">
      <c r="J44" s="77" t="s">
        <v>55</v>
      </c>
      <c r="K44" s="110">
        <v>0</v>
      </c>
    </row>
    <row r="45" spans="1:15" x14ac:dyDescent="0.25">
      <c r="J45" s="76" t="s">
        <v>56</v>
      </c>
      <c r="K45" s="110">
        <v>0.2</v>
      </c>
    </row>
    <row r="46" spans="1:15" x14ac:dyDescent="0.25">
      <c r="J46" s="77" t="s">
        <v>57</v>
      </c>
      <c r="K46" s="110">
        <v>1</v>
      </c>
    </row>
    <row r="47" spans="1:15" x14ac:dyDescent="0.25"/>
    <row r="48" spans="1:15"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sheetData>
  <autoFilter ref="A1:O34" xr:uid="{10F1C889-6096-41B2-B7C4-CBBFD42C5C0E}">
    <sortState xmlns:xlrd2="http://schemas.microsoft.com/office/spreadsheetml/2017/richdata2" ref="A2:O34">
      <sortCondition ref="A1:A34"/>
    </sortState>
  </autoFilter>
  <conditionalFormatting sqref="K40">
    <cfRule type="cellIs" dxfId="30" priority="1" operator="greaterThan">
      <formula>0</formula>
    </cfRule>
    <cfRule type="cellIs" dxfId="29" priority="2" operator="equal">
      <formula>0</formula>
    </cfRule>
  </conditionalFormatting>
  <dataValidations count="1">
    <dataValidation allowBlank="1" showInputMessage="1" showErrorMessage="1" sqref="G27:H27 G25:H25 G1:G6 H1:H7" xr:uid="{D4CC3888-A982-46E8-BCDE-C620B886742D}"/>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48070-8306-4C3A-A216-5F98A2DA6A73}">
  <sheetPr>
    <tabColor theme="6" tint="-0.249977111117893"/>
  </sheetPr>
  <dimension ref="A1:O41"/>
  <sheetViews>
    <sheetView workbookViewId="0"/>
  </sheetViews>
  <sheetFormatPr defaultRowHeight="15.75" x14ac:dyDescent="0.25"/>
  <cols>
    <col min="1" max="1" width="9" customWidth="1"/>
    <col min="2" max="2" width="33.125" customWidth="1"/>
    <col min="3" max="3" width="0" hidden="1" customWidth="1"/>
    <col min="4" max="4" width="41" customWidth="1"/>
    <col min="5" max="5" width="23.125" style="112" customWidth="1"/>
    <col min="6" max="6" width="0" hidden="1" customWidth="1"/>
    <col min="7" max="7" width="17.625" customWidth="1"/>
    <col min="8" max="8" width="15.75" bestFit="1" customWidth="1"/>
    <col min="9" max="9" width="18.75" customWidth="1"/>
    <col min="10" max="10" width="13.625" customWidth="1"/>
    <col min="11" max="11" width="24" customWidth="1"/>
    <col min="12" max="12" width="9" bestFit="1" customWidth="1"/>
    <col min="13" max="13" width="36.5" customWidth="1"/>
    <col min="14" max="14" width="33.625" bestFit="1" customWidth="1"/>
    <col min="15" max="15" width="18" bestFit="1" customWidth="1"/>
  </cols>
  <sheetData>
    <row r="1" spans="1:15" ht="45.75" thickBot="1" x14ac:dyDescent="0.3">
      <c r="A1" s="89" t="s">
        <v>0</v>
      </c>
      <c r="B1" s="89" t="s">
        <v>2</v>
      </c>
      <c r="C1" s="89" t="s">
        <v>4</v>
      </c>
      <c r="D1" s="89" t="s">
        <v>5</v>
      </c>
      <c r="E1" s="90" t="s">
        <v>194</v>
      </c>
      <c r="F1" s="89" t="s">
        <v>6</v>
      </c>
      <c r="G1" s="89" t="s">
        <v>7</v>
      </c>
      <c r="H1" s="89" t="s">
        <v>8</v>
      </c>
      <c r="I1" s="89" t="s">
        <v>9</v>
      </c>
      <c r="J1" s="89" t="s">
        <v>192</v>
      </c>
      <c r="K1" s="89" t="s">
        <v>11</v>
      </c>
      <c r="L1" s="89" t="s">
        <v>12</v>
      </c>
      <c r="M1" s="89" t="s">
        <v>13</v>
      </c>
      <c r="N1" s="90" t="s">
        <v>14</v>
      </c>
      <c r="O1" s="90" t="s">
        <v>15</v>
      </c>
    </row>
    <row r="2" spans="1:15" ht="90" x14ac:dyDescent="0.25">
      <c r="A2" s="91" t="s">
        <v>16</v>
      </c>
      <c r="B2" s="92" t="s">
        <v>250</v>
      </c>
      <c r="C2" s="94"/>
      <c r="D2" s="92" t="s">
        <v>251</v>
      </c>
      <c r="E2" s="92" t="s">
        <v>111</v>
      </c>
      <c r="F2" s="92"/>
      <c r="G2" s="91" t="s">
        <v>252</v>
      </c>
      <c r="H2" s="86" t="s">
        <v>253</v>
      </c>
      <c r="I2" s="99" t="s">
        <v>254</v>
      </c>
      <c r="J2" s="93" t="s">
        <v>255</v>
      </c>
      <c r="K2" s="96" t="s">
        <v>23</v>
      </c>
      <c r="L2" s="91">
        <v>6</v>
      </c>
      <c r="M2" s="92" t="s">
        <v>256</v>
      </c>
      <c r="N2" s="92" t="s">
        <v>257</v>
      </c>
      <c r="O2" s="92" t="s">
        <v>258</v>
      </c>
    </row>
    <row r="3" spans="1:15" ht="30" x14ac:dyDescent="0.25">
      <c r="A3" s="91" t="s">
        <v>16</v>
      </c>
      <c r="B3" s="98" t="s">
        <v>259</v>
      </c>
      <c r="C3" s="94"/>
      <c r="D3" s="98" t="s">
        <v>260</v>
      </c>
      <c r="E3" s="92" t="s">
        <v>111</v>
      </c>
      <c r="F3" s="92"/>
      <c r="G3" s="86" t="s">
        <v>261</v>
      </c>
      <c r="H3" s="146" t="s">
        <v>262</v>
      </c>
      <c r="I3" s="99" t="s">
        <v>111</v>
      </c>
      <c r="J3" s="99" t="s">
        <v>263</v>
      </c>
      <c r="K3" s="96" t="s">
        <v>23</v>
      </c>
      <c r="L3" s="86">
        <v>4</v>
      </c>
      <c r="M3" s="92" t="s">
        <v>264</v>
      </c>
      <c r="N3" s="98"/>
      <c r="O3" s="98"/>
    </row>
    <row r="4" spans="1:15" ht="45" x14ac:dyDescent="0.25">
      <c r="A4" s="91" t="s">
        <v>16</v>
      </c>
      <c r="B4" s="98" t="s">
        <v>265</v>
      </c>
      <c r="C4" s="94"/>
      <c r="D4" s="98" t="s">
        <v>266</v>
      </c>
      <c r="E4" s="147"/>
      <c r="F4" s="92"/>
      <c r="G4" s="86"/>
      <c r="H4" s="86" t="s">
        <v>253</v>
      </c>
      <c r="I4" s="99" t="s">
        <v>267</v>
      </c>
      <c r="J4" s="99" t="s">
        <v>268</v>
      </c>
      <c r="K4" s="96" t="s">
        <v>23</v>
      </c>
      <c r="L4" s="86">
        <v>6</v>
      </c>
      <c r="M4" s="91"/>
      <c r="N4" s="98"/>
      <c r="O4" s="98"/>
    </row>
    <row r="5" spans="1:15" ht="45" x14ac:dyDescent="0.25">
      <c r="A5" s="91" t="s">
        <v>33</v>
      </c>
      <c r="B5" s="98" t="s">
        <v>269</v>
      </c>
      <c r="C5" s="94"/>
      <c r="D5" s="98" t="s">
        <v>270</v>
      </c>
      <c r="E5" s="98" t="s">
        <v>111</v>
      </c>
      <c r="F5" s="92"/>
      <c r="G5" s="87" t="s">
        <v>271</v>
      </c>
      <c r="H5" s="146" t="s">
        <v>262</v>
      </c>
      <c r="I5" s="87" t="s">
        <v>272</v>
      </c>
      <c r="J5" s="99" t="s">
        <v>273</v>
      </c>
      <c r="K5" s="96" t="s">
        <v>23</v>
      </c>
      <c r="L5" s="86">
        <v>12</v>
      </c>
      <c r="M5" s="148"/>
      <c r="N5" s="98" t="s">
        <v>274</v>
      </c>
      <c r="O5" s="98"/>
    </row>
    <row r="6" spans="1:15" ht="135" x14ac:dyDescent="0.25">
      <c r="A6" s="91" t="s">
        <v>33</v>
      </c>
      <c r="B6" s="98" t="s">
        <v>275</v>
      </c>
      <c r="C6" s="94"/>
      <c r="D6" s="98" t="s">
        <v>276</v>
      </c>
      <c r="E6" s="98"/>
      <c r="F6" s="92"/>
      <c r="G6" s="91" t="s">
        <v>252</v>
      </c>
      <c r="H6" s="86" t="s">
        <v>253</v>
      </c>
      <c r="I6" s="99" t="s">
        <v>277</v>
      </c>
      <c r="J6" s="99" t="s">
        <v>268</v>
      </c>
      <c r="K6" s="96" t="s">
        <v>23</v>
      </c>
      <c r="L6" s="86">
        <v>10</v>
      </c>
      <c r="M6" s="149" t="s">
        <v>278</v>
      </c>
      <c r="N6" s="98"/>
      <c r="O6" s="98"/>
    </row>
    <row r="7" spans="1:15" ht="60" x14ac:dyDescent="0.25">
      <c r="A7" s="91" t="s">
        <v>33</v>
      </c>
      <c r="B7" s="98" t="s">
        <v>279</v>
      </c>
      <c r="C7" s="94"/>
      <c r="D7" s="98" t="s">
        <v>280</v>
      </c>
      <c r="E7" s="137"/>
      <c r="F7" s="92"/>
      <c r="G7" s="86" t="s">
        <v>252</v>
      </c>
      <c r="H7" s="86" t="s">
        <v>253</v>
      </c>
      <c r="I7" s="99" t="s">
        <v>277</v>
      </c>
      <c r="J7" s="99" t="s">
        <v>281</v>
      </c>
      <c r="K7" s="96" t="s">
        <v>111</v>
      </c>
      <c r="L7" s="86">
        <v>6</v>
      </c>
      <c r="M7" s="149" t="s">
        <v>282</v>
      </c>
      <c r="N7" s="98" t="s">
        <v>283</v>
      </c>
      <c r="O7" s="98"/>
    </row>
    <row r="8" spans="1:15" x14ac:dyDescent="0.25">
      <c r="A8" s="91" t="s">
        <v>33</v>
      </c>
      <c r="B8" s="98" t="s">
        <v>284</v>
      </c>
      <c r="C8" s="94"/>
      <c r="D8" s="98" t="s">
        <v>285</v>
      </c>
      <c r="E8" s="137"/>
      <c r="F8" s="92"/>
      <c r="G8" s="86" t="s">
        <v>252</v>
      </c>
      <c r="H8" s="86" t="s">
        <v>253</v>
      </c>
      <c r="I8" s="99" t="s">
        <v>286</v>
      </c>
      <c r="J8" s="99" t="s">
        <v>287</v>
      </c>
      <c r="K8" s="96" t="s">
        <v>23</v>
      </c>
      <c r="L8" s="86">
        <v>0</v>
      </c>
      <c r="M8" s="148"/>
      <c r="N8" s="98"/>
      <c r="O8" s="98"/>
    </row>
    <row r="9" spans="1:15" ht="45" x14ac:dyDescent="0.25">
      <c r="A9" s="91" t="s">
        <v>33</v>
      </c>
      <c r="B9" s="98" t="s">
        <v>288</v>
      </c>
      <c r="C9" s="94"/>
      <c r="D9" s="98" t="s">
        <v>289</v>
      </c>
      <c r="E9" s="137"/>
      <c r="F9" s="92"/>
      <c r="G9" s="86" t="s">
        <v>290</v>
      </c>
      <c r="H9" s="86" t="s">
        <v>253</v>
      </c>
      <c r="I9" s="99" t="s">
        <v>111</v>
      </c>
      <c r="J9" s="99" t="s">
        <v>268</v>
      </c>
      <c r="K9" s="96" t="s">
        <v>111</v>
      </c>
      <c r="L9" s="86">
        <v>2</v>
      </c>
      <c r="M9" s="148" t="s">
        <v>291</v>
      </c>
      <c r="N9" s="98"/>
      <c r="O9" s="98"/>
    </row>
    <row r="10" spans="1:15" ht="30" x14ac:dyDescent="0.25">
      <c r="A10" s="91" t="s">
        <v>33</v>
      </c>
      <c r="B10" s="98" t="s">
        <v>292</v>
      </c>
      <c r="C10" s="94"/>
      <c r="D10" s="98" t="s">
        <v>293</v>
      </c>
      <c r="E10" s="137"/>
      <c r="F10" s="92"/>
      <c r="G10" s="86" t="s">
        <v>252</v>
      </c>
      <c r="H10" s="86" t="s">
        <v>294</v>
      </c>
      <c r="I10" s="99" t="s">
        <v>295</v>
      </c>
      <c r="J10" s="99" t="s">
        <v>268</v>
      </c>
      <c r="K10" s="96" t="s">
        <v>111</v>
      </c>
      <c r="L10" s="86">
        <v>4</v>
      </c>
      <c r="M10" s="91"/>
      <c r="N10" s="98"/>
      <c r="O10" s="98"/>
    </row>
    <row r="11" spans="1:15" ht="30" x14ac:dyDescent="0.25">
      <c r="A11" s="91" t="s">
        <v>33</v>
      </c>
      <c r="B11" s="98" t="s">
        <v>296</v>
      </c>
      <c r="C11" s="94"/>
      <c r="D11" s="98" t="s">
        <v>297</v>
      </c>
      <c r="E11" s="137"/>
      <c r="F11" s="92"/>
      <c r="G11" s="86" t="s">
        <v>252</v>
      </c>
      <c r="H11" s="86" t="s">
        <v>253</v>
      </c>
      <c r="I11" s="99" t="s">
        <v>298</v>
      </c>
      <c r="J11" s="99" t="s">
        <v>273</v>
      </c>
      <c r="K11" s="96" t="s">
        <v>23</v>
      </c>
      <c r="L11" s="86">
        <v>1</v>
      </c>
      <c r="M11" s="91"/>
      <c r="N11" s="98"/>
      <c r="O11" s="98"/>
    </row>
    <row r="12" spans="1:15" ht="30" x14ac:dyDescent="0.25">
      <c r="A12" s="91" t="s">
        <v>33</v>
      </c>
      <c r="B12" s="98" t="s">
        <v>299</v>
      </c>
      <c r="C12" s="94"/>
      <c r="D12" s="98" t="s">
        <v>300</v>
      </c>
      <c r="E12" s="137"/>
      <c r="F12" s="92"/>
      <c r="G12" s="86" t="s">
        <v>252</v>
      </c>
      <c r="H12" s="86" t="s">
        <v>253</v>
      </c>
      <c r="I12" s="99" t="s">
        <v>301</v>
      </c>
      <c r="J12" s="99" t="s">
        <v>268</v>
      </c>
      <c r="K12" s="96" t="s">
        <v>23</v>
      </c>
      <c r="L12" s="86" t="s">
        <v>111</v>
      </c>
      <c r="M12" s="91"/>
      <c r="N12" s="98"/>
      <c r="O12" s="98"/>
    </row>
    <row r="13" spans="1:15" ht="45" x14ac:dyDescent="0.25">
      <c r="A13" s="86" t="s">
        <v>108</v>
      </c>
      <c r="B13" s="98" t="s">
        <v>302</v>
      </c>
      <c r="C13" s="94"/>
      <c r="D13" s="98" t="s">
        <v>303</v>
      </c>
      <c r="E13" s="137"/>
      <c r="F13" s="92"/>
      <c r="G13" s="86" t="s">
        <v>252</v>
      </c>
      <c r="H13" s="86" t="s">
        <v>253</v>
      </c>
      <c r="I13" s="99" t="s">
        <v>277</v>
      </c>
      <c r="J13" s="99" t="s">
        <v>281</v>
      </c>
      <c r="K13" s="96" t="s">
        <v>103</v>
      </c>
      <c r="L13" s="86" t="s">
        <v>111</v>
      </c>
      <c r="M13" s="148"/>
      <c r="N13" s="98" t="s">
        <v>283</v>
      </c>
      <c r="O13" s="98"/>
    </row>
    <row r="14" spans="1:15" ht="60" x14ac:dyDescent="0.25">
      <c r="A14" s="86" t="s">
        <v>108</v>
      </c>
      <c r="B14" s="98" t="s">
        <v>304</v>
      </c>
      <c r="C14" s="94"/>
      <c r="D14" s="98" t="s">
        <v>305</v>
      </c>
      <c r="E14" s="137"/>
      <c r="F14" s="92"/>
      <c r="G14" s="86"/>
      <c r="H14" s="86" t="s">
        <v>253</v>
      </c>
      <c r="I14" s="99" t="s">
        <v>306</v>
      </c>
      <c r="J14" s="99" t="s">
        <v>273</v>
      </c>
      <c r="K14" s="96" t="s">
        <v>103</v>
      </c>
      <c r="L14" s="86" t="s">
        <v>111</v>
      </c>
      <c r="M14" s="148"/>
      <c r="N14" s="98"/>
      <c r="O14" s="98"/>
    </row>
    <row r="15" spans="1:15" ht="30" x14ac:dyDescent="0.25">
      <c r="A15" s="86" t="s">
        <v>108</v>
      </c>
      <c r="B15" s="98" t="s">
        <v>307</v>
      </c>
      <c r="C15" s="94"/>
      <c r="D15" s="98" t="s">
        <v>308</v>
      </c>
      <c r="E15" s="137"/>
      <c r="F15" s="92"/>
      <c r="G15" s="86" t="s">
        <v>252</v>
      </c>
      <c r="H15" s="86" t="s">
        <v>294</v>
      </c>
      <c r="I15" s="99" t="s">
        <v>111</v>
      </c>
      <c r="J15" s="99" t="s">
        <v>309</v>
      </c>
      <c r="K15" s="96" t="s">
        <v>111</v>
      </c>
      <c r="L15" s="86">
        <v>3</v>
      </c>
      <c r="M15" s="91"/>
      <c r="N15" s="98"/>
      <c r="O15" s="98"/>
    </row>
    <row r="16" spans="1:15" ht="30" x14ac:dyDescent="0.25">
      <c r="A16" s="86" t="s">
        <v>108</v>
      </c>
      <c r="B16" s="98" t="s">
        <v>310</v>
      </c>
      <c r="C16" s="94"/>
      <c r="D16" s="98" t="s">
        <v>311</v>
      </c>
      <c r="E16" s="137"/>
      <c r="F16" s="92"/>
      <c r="G16" s="86"/>
      <c r="H16" s="86"/>
      <c r="I16" s="99"/>
      <c r="J16" s="99"/>
      <c r="K16" s="96" t="s">
        <v>111</v>
      </c>
      <c r="L16" s="86">
        <v>2</v>
      </c>
      <c r="M16" s="91"/>
      <c r="N16" s="98"/>
      <c r="O16" s="98"/>
    </row>
    <row r="17" spans="1:15" ht="30" x14ac:dyDescent="0.25">
      <c r="A17" s="86" t="s">
        <v>108</v>
      </c>
      <c r="B17" s="98" t="s">
        <v>312</v>
      </c>
      <c r="C17" s="94"/>
      <c r="D17" s="98" t="s">
        <v>313</v>
      </c>
      <c r="E17" s="137"/>
      <c r="F17" s="92"/>
      <c r="G17" s="86"/>
      <c r="H17" s="86"/>
      <c r="I17" s="99"/>
      <c r="J17" s="99"/>
      <c r="K17" s="96" t="s">
        <v>111</v>
      </c>
      <c r="L17" s="86"/>
      <c r="M17" s="91"/>
      <c r="N17" s="98"/>
      <c r="O17" s="98"/>
    </row>
    <row r="18" spans="1:15" x14ac:dyDescent="0.25">
      <c r="A18" s="86" t="s">
        <v>115</v>
      </c>
      <c r="B18" s="98" t="s">
        <v>314</v>
      </c>
      <c r="C18" s="94"/>
      <c r="D18" s="150" t="s">
        <v>118</v>
      </c>
      <c r="E18" s="98" t="s">
        <v>111</v>
      </c>
      <c r="F18" s="92"/>
      <c r="G18" s="86" t="s">
        <v>118</v>
      </c>
      <c r="H18" s="86"/>
      <c r="I18" s="86" t="s">
        <v>118</v>
      </c>
      <c r="J18" s="99"/>
      <c r="K18" s="96" t="s">
        <v>103</v>
      </c>
      <c r="L18" s="86" t="s">
        <v>111</v>
      </c>
      <c r="M18" s="148"/>
      <c r="N18" s="98"/>
      <c r="O18" s="98"/>
    </row>
    <row r="19" spans="1:15" ht="30" x14ac:dyDescent="0.25">
      <c r="A19" s="86" t="s">
        <v>115</v>
      </c>
      <c r="B19" s="98" t="s">
        <v>315</v>
      </c>
      <c r="C19" s="94"/>
      <c r="D19" s="98" t="s">
        <v>316</v>
      </c>
      <c r="E19" s="137"/>
      <c r="F19" s="92"/>
      <c r="G19" s="86" t="s">
        <v>252</v>
      </c>
      <c r="H19" s="86" t="s">
        <v>253</v>
      </c>
      <c r="I19" s="99" t="s">
        <v>277</v>
      </c>
      <c r="J19" s="99" t="s">
        <v>317</v>
      </c>
      <c r="K19" s="96" t="s">
        <v>103</v>
      </c>
      <c r="L19" s="86" t="s">
        <v>111</v>
      </c>
      <c r="M19" s="148"/>
      <c r="N19" s="98" t="s">
        <v>283</v>
      </c>
      <c r="O19" s="98"/>
    </row>
    <row r="20" spans="1:15" ht="45" x14ac:dyDescent="0.25">
      <c r="A20" s="86" t="s">
        <v>115</v>
      </c>
      <c r="B20" s="98" t="s">
        <v>318</v>
      </c>
      <c r="C20" s="94"/>
      <c r="D20" s="98" t="s">
        <v>319</v>
      </c>
      <c r="E20" s="137"/>
      <c r="F20" s="92"/>
      <c r="G20" s="86" t="s">
        <v>252</v>
      </c>
      <c r="H20" s="86" t="s">
        <v>253</v>
      </c>
      <c r="I20" s="99" t="s">
        <v>277</v>
      </c>
      <c r="J20" s="99" t="s">
        <v>281</v>
      </c>
      <c r="K20" s="96" t="s">
        <v>103</v>
      </c>
      <c r="L20" s="86" t="s">
        <v>111</v>
      </c>
      <c r="M20" s="148"/>
      <c r="N20" s="98" t="s">
        <v>283</v>
      </c>
      <c r="O20" s="98"/>
    </row>
    <row r="21" spans="1:15" ht="60" x14ac:dyDescent="0.25">
      <c r="A21" s="86" t="s">
        <v>115</v>
      </c>
      <c r="B21" s="98" t="s">
        <v>320</v>
      </c>
      <c r="C21" s="94"/>
      <c r="D21" s="98" t="s">
        <v>321</v>
      </c>
      <c r="E21" s="137"/>
      <c r="F21" s="92"/>
      <c r="G21" s="86" t="s">
        <v>252</v>
      </c>
      <c r="H21" s="86" t="s">
        <v>253</v>
      </c>
      <c r="I21" s="99" t="s">
        <v>322</v>
      </c>
      <c r="J21" s="99"/>
      <c r="K21" s="96" t="s">
        <v>103</v>
      </c>
      <c r="L21" s="86" t="s">
        <v>111</v>
      </c>
      <c r="M21" s="148"/>
      <c r="N21" s="98"/>
      <c r="O21" s="98"/>
    </row>
    <row r="22" spans="1:15" x14ac:dyDescent="0.25">
      <c r="A22" s="86" t="s">
        <v>115</v>
      </c>
      <c r="B22" s="98" t="s">
        <v>323</v>
      </c>
      <c r="C22" s="94"/>
      <c r="D22" s="98" t="s">
        <v>324</v>
      </c>
      <c r="E22" s="137"/>
      <c r="F22" s="92"/>
      <c r="G22" s="86" t="s">
        <v>252</v>
      </c>
      <c r="H22" s="86" t="s">
        <v>253</v>
      </c>
      <c r="I22" s="99" t="s">
        <v>111</v>
      </c>
      <c r="J22" s="99"/>
      <c r="K22" s="96" t="s">
        <v>103</v>
      </c>
      <c r="L22" s="86" t="s">
        <v>111</v>
      </c>
      <c r="M22" s="148"/>
      <c r="N22" s="98"/>
      <c r="O22" s="98"/>
    </row>
    <row r="23" spans="1:15" ht="30" x14ac:dyDescent="0.25">
      <c r="A23" s="86" t="s">
        <v>115</v>
      </c>
      <c r="B23" s="98" t="s">
        <v>325</v>
      </c>
      <c r="C23" s="94"/>
      <c r="D23" s="98" t="s">
        <v>326</v>
      </c>
      <c r="E23" s="137"/>
      <c r="F23" s="92"/>
      <c r="G23" s="86"/>
      <c r="H23" s="86"/>
      <c r="I23" s="99"/>
      <c r="J23" s="99"/>
      <c r="K23" s="96" t="s">
        <v>103</v>
      </c>
      <c r="L23" s="86"/>
      <c r="M23" s="148"/>
      <c r="N23" s="98"/>
      <c r="O23" s="98"/>
    </row>
    <row r="24" spans="1:15" x14ac:dyDescent="0.25">
      <c r="A24" s="86" t="s">
        <v>115</v>
      </c>
      <c r="B24" s="98" t="s">
        <v>327</v>
      </c>
      <c r="C24" s="94"/>
      <c r="D24" s="98" t="s">
        <v>328</v>
      </c>
      <c r="E24" s="151"/>
      <c r="F24" s="92"/>
      <c r="G24" s="86"/>
      <c r="H24" s="86"/>
      <c r="I24" s="99"/>
      <c r="J24" s="99"/>
      <c r="K24" s="96" t="s">
        <v>103</v>
      </c>
      <c r="L24" s="86" t="s">
        <v>111</v>
      </c>
      <c r="M24" s="91"/>
      <c r="N24" s="98"/>
      <c r="O24" s="98"/>
    </row>
    <row r="25" spans="1:15" ht="45" x14ac:dyDescent="0.25">
      <c r="A25" s="91" t="s">
        <v>115</v>
      </c>
      <c r="B25" s="98" t="s">
        <v>329</v>
      </c>
      <c r="C25" s="94"/>
      <c r="D25" s="98" t="s">
        <v>330</v>
      </c>
      <c r="E25" s="151"/>
      <c r="F25" s="92"/>
      <c r="G25" s="86"/>
      <c r="H25" s="86"/>
      <c r="I25" s="110"/>
      <c r="J25" s="99"/>
      <c r="K25" s="96" t="s">
        <v>103</v>
      </c>
      <c r="L25" s="86" t="s">
        <v>111</v>
      </c>
      <c r="M25" s="91"/>
      <c r="N25" s="98"/>
      <c r="O25" s="98"/>
    </row>
    <row r="26" spans="1:15" x14ac:dyDescent="0.25">
      <c r="A26" s="86" t="s">
        <v>115</v>
      </c>
      <c r="B26" s="98" t="s">
        <v>331</v>
      </c>
      <c r="C26" s="94"/>
      <c r="D26" s="98"/>
      <c r="E26" s="137"/>
      <c r="F26" s="92"/>
      <c r="G26" s="86"/>
      <c r="H26" s="86"/>
      <c r="I26" s="99"/>
      <c r="J26" s="99"/>
      <c r="K26" s="96" t="s">
        <v>111</v>
      </c>
      <c r="L26" s="86" t="s">
        <v>111</v>
      </c>
      <c r="M26" s="91"/>
      <c r="N26" s="105"/>
      <c r="O26" s="98"/>
    </row>
    <row r="27" spans="1:15" x14ac:dyDescent="0.25">
      <c r="A27" s="86" t="s">
        <v>115</v>
      </c>
      <c r="B27" s="98" t="s">
        <v>332</v>
      </c>
      <c r="C27" s="94" t="s">
        <v>105</v>
      </c>
      <c r="D27" s="98" t="s">
        <v>333</v>
      </c>
      <c r="E27" s="137" t="s">
        <v>106</v>
      </c>
      <c r="F27" s="92" t="s">
        <v>111</v>
      </c>
      <c r="G27" s="86"/>
      <c r="H27" s="86"/>
      <c r="I27" s="99"/>
      <c r="J27" s="99"/>
      <c r="K27" s="100" t="s">
        <v>103</v>
      </c>
      <c r="L27" s="86" t="s">
        <v>111</v>
      </c>
      <c r="M27" s="91"/>
      <c r="N27" s="105" t="s">
        <v>334</v>
      </c>
      <c r="O27" s="98"/>
    </row>
    <row r="28" spans="1:15" ht="30" x14ac:dyDescent="0.25">
      <c r="A28" s="86" t="s">
        <v>115</v>
      </c>
      <c r="B28" s="98" t="s">
        <v>335</v>
      </c>
      <c r="C28" s="94" t="s">
        <v>20</v>
      </c>
      <c r="D28" s="98" t="s">
        <v>336</v>
      </c>
      <c r="E28" s="137"/>
      <c r="F28" s="92" t="s">
        <v>111</v>
      </c>
      <c r="G28" s="86"/>
      <c r="H28" s="86"/>
      <c r="I28" s="99"/>
      <c r="J28" s="99"/>
      <c r="K28" s="100" t="s">
        <v>103</v>
      </c>
      <c r="L28" s="86" t="s">
        <v>111</v>
      </c>
      <c r="M28" s="91"/>
      <c r="N28" s="105" t="s">
        <v>337</v>
      </c>
      <c r="O28" s="98"/>
    </row>
    <row r="29" spans="1:15" x14ac:dyDescent="0.25">
      <c r="A29" s="86" t="s">
        <v>120</v>
      </c>
      <c r="B29" s="98" t="s">
        <v>338</v>
      </c>
      <c r="C29" s="94"/>
      <c r="D29" s="98"/>
      <c r="E29" s="152"/>
      <c r="F29" s="92"/>
      <c r="G29" s="86"/>
      <c r="H29" s="86"/>
      <c r="I29" s="99"/>
      <c r="J29" s="99"/>
      <c r="K29" s="100" t="s">
        <v>103</v>
      </c>
      <c r="L29" s="86" t="s">
        <v>111</v>
      </c>
      <c r="M29" s="91"/>
      <c r="N29" s="105"/>
      <c r="O29" s="98"/>
    </row>
    <row r="32" spans="1:15" x14ac:dyDescent="0.25">
      <c r="K32" s="76" t="s">
        <v>49</v>
      </c>
      <c r="L32" s="106">
        <f>SUM(L2:L29)</f>
        <v>56</v>
      </c>
    </row>
    <row r="33" spans="11:12" x14ac:dyDescent="0.25">
      <c r="K33" s="77" t="s">
        <v>50</v>
      </c>
      <c r="L33" s="99">
        <f xml:space="preserve"> SUMIF(K2:K29, "Yes",L2:L29)</f>
        <v>39</v>
      </c>
    </row>
    <row r="34" spans="11:12" x14ac:dyDescent="0.25">
      <c r="K34" s="76" t="s">
        <v>51</v>
      </c>
      <c r="L34" s="109">
        <f>FLOOR((((L38-(L38*L39)-L41)*L37)-(((L38-(L38*L39)-L41)*L37)*L40)),1)</f>
        <v>40</v>
      </c>
    </row>
    <row r="35" spans="11:12" x14ac:dyDescent="0.25">
      <c r="K35" s="77" t="s">
        <v>52</v>
      </c>
      <c r="L35" s="110">
        <f>MAX(0, MIN(100, L33-L34))</f>
        <v>0</v>
      </c>
    </row>
    <row r="36" spans="11:12" x14ac:dyDescent="0.25">
      <c r="K36" s="78"/>
      <c r="L36" s="107"/>
    </row>
    <row r="37" spans="11:12" x14ac:dyDescent="0.25">
      <c r="K37" s="77" t="s">
        <v>53</v>
      </c>
      <c r="L37" s="110">
        <v>6.5</v>
      </c>
    </row>
    <row r="38" spans="11:12" x14ac:dyDescent="0.25">
      <c r="K38" s="77" t="s">
        <v>54</v>
      </c>
      <c r="L38" s="110">
        <v>12</v>
      </c>
    </row>
    <row r="39" spans="11:12" x14ac:dyDescent="0.25">
      <c r="K39" s="77" t="s">
        <v>55</v>
      </c>
      <c r="L39" s="110">
        <v>0.4</v>
      </c>
    </row>
    <row r="40" spans="11:12" x14ac:dyDescent="0.25">
      <c r="K40" s="76" t="s">
        <v>56</v>
      </c>
      <c r="L40" s="110">
        <v>0</v>
      </c>
    </row>
    <row r="41" spans="11:12" x14ac:dyDescent="0.25">
      <c r="K41" s="77" t="s">
        <v>57</v>
      </c>
      <c r="L41" s="110">
        <v>1</v>
      </c>
    </row>
  </sheetData>
  <autoFilter ref="A1:O29" xr:uid="{10F1C889-6096-41B2-B7C4-CBBFD42C5C0E}">
    <sortState xmlns:xlrd2="http://schemas.microsoft.com/office/spreadsheetml/2017/richdata2" ref="A2:O29">
      <sortCondition ref="A1:A29"/>
    </sortState>
  </autoFilter>
  <conditionalFormatting sqref="L35">
    <cfRule type="cellIs" dxfId="28" priority="1" operator="greaterThan">
      <formula>0</formula>
    </cfRule>
    <cfRule type="cellIs" dxfId="27" priority="2" operator="equal">
      <formula>0</formula>
    </cfRule>
  </conditionalFormatting>
  <dataValidations count="1">
    <dataValidation allowBlank="1" showInputMessage="1" showErrorMessage="1" sqref="H1:I1" xr:uid="{B0F03F16-5144-45DB-94E2-D4E088AA5CC7}"/>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12EFC-3834-4042-BB22-00FF112FD6A6}">
  <sheetPr>
    <tabColor theme="8" tint="0.59999389629810485"/>
  </sheetPr>
  <dimension ref="A1:Q67"/>
  <sheetViews>
    <sheetView workbookViewId="0"/>
  </sheetViews>
  <sheetFormatPr defaultRowHeight="15.75" customHeight="1" x14ac:dyDescent="0.25"/>
  <cols>
    <col min="2" max="2" width="20.375" customWidth="1"/>
    <col min="3" max="3" width="12.75" customWidth="1"/>
    <col min="4" max="4" width="62.25" customWidth="1"/>
    <col min="5" max="5" width="45.75" customWidth="1"/>
    <col min="6" max="6" width="12" customWidth="1"/>
    <col min="7" max="7" width="14.125" customWidth="1"/>
    <col min="8" max="8" width="20.25" customWidth="1"/>
    <col min="9" max="9" width="13.5" customWidth="1"/>
    <col min="10" max="10" width="0" hidden="1" customWidth="1"/>
    <col min="11" max="11" width="12" customWidth="1"/>
    <col min="12" max="13" width="9" bestFit="1" customWidth="1"/>
    <col min="14" max="14" width="11.75" customWidth="1"/>
    <col min="15" max="15" width="13.25" customWidth="1"/>
    <col min="16" max="16" width="40.875" customWidth="1"/>
    <col min="17" max="17" width="17.5" customWidth="1"/>
  </cols>
  <sheetData>
    <row r="1" spans="1:17" ht="45.75" thickBot="1" x14ac:dyDescent="0.3">
      <c r="A1" s="89" t="s">
        <v>0</v>
      </c>
      <c r="B1" s="89" t="s">
        <v>2</v>
      </c>
      <c r="C1" s="89" t="s">
        <v>4</v>
      </c>
      <c r="D1" s="89" t="s">
        <v>5</v>
      </c>
      <c r="E1" s="89" t="s">
        <v>6</v>
      </c>
      <c r="F1" s="153" t="s">
        <v>7</v>
      </c>
      <c r="G1" s="153" t="s">
        <v>8</v>
      </c>
      <c r="H1" s="153" t="s">
        <v>339</v>
      </c>
      <c r="I1" s="153" t="s">
        <v>9</v>
      </c>
      <c r="J1" s="153" t="s">
        <v>10</v>
      </c>
      <c r="K1" s="89" t="s">
        <v>11</v>
      </c>
      <c r="L1" s="89" t="s">
        <v>12</v>
      </c>
      <c r="M1" s="89" t="s">
        <v>142</v>
      </c>
      <c r="N1" s="89" t="s">
        <v>13</v>
      </c>
      <c r="O1" s="89" t="s">
        <v>14</v>
      </c>
      <c r="P1" s="89" t="s">
        <v>15</v>
      </c>
      <c r="Q1" t="s">
        <v>340</v>
      </c>
    </row>
    <row r="2" spans="1:17" ht="150" x14ac:dyDescent="0.25">
      <c r="A2" s="91"/>
      <c r="B2" s="92" t="s">
        <v>341</v>
      </c>
      <c r="C2" s="94" t="s">
        <v>113</v>
      </c>
      <c r="D2" s="92" t="s">
        <v>342</v>
      </c>
      <c r="E2" s="94" t="s">
        <v>343</v>
      </c>
      <c r="F2" s="94" t="s">
        <v>252</v>
      </c>
      <c r="G2" s="94" t="s">
        <v>344</v>
      </c>
      <c r="H2" s="94" t="s">
        <v>345</v>
      </c>
      <c r="I2" s="92" t="s">
        <v>346</v>
      </c>
      <c r="J2" s="91"/>
      <c r="K2" s="92"/>
      <c r="L2" s="94"/>
      <c r="M2" s="92"/>
      <c r="N2" s="91"/>
      <c r="O2" s="92" t="s">
        <v>347</v>
      </c>
      <c r="P2" s="94"/>
      <c r="Q2" t="s">
        <v>348</v>
      </c>
    </row>
    <row r="3" spans="1:17" ht="60" x14ac:dyDescent="0.25">
      <c r="A3" s="91"/>
      <c r="B3" s="98" t="s">
        <v>349</v>
      </c>
      <c r="C3" s="94" t="s">
        <v>113</v>
      </c>
      <c r="D3" s="98" t="s">
        <v>350</v>
      </c>
      <c r="E3" s="91" t="s">
        <v>351</v>
      </c>
      <c r="F3" s="94" t="s">
        <v>255</v>
      </c>
      <c r="G3" s="94" t="s">
        <v>255</v>
      </c>
      <c r="H3" s="94" t="s">
        <v>255</v>
      </c>
      <c r="I3" s="98" t="s">
        <v>352</v>
      </c>
      <c r="J3" s="91"/>
      <c r="K3" s="98"/>
      <c r="L3" s="94"/>
      <c r="M3" s="98"/>
      <c r="N3" s="91"/>
      <c r="O3" s="98" t="s">
        <v>268</v>
      </c>
      <c r="P3" s="94"/>
    </row>
    <row r="4" spans="1:17" ht="60" x14ac:dyDescent="0.25">
      <c r="A4" s="91"/>
      <c r="B4" s="98" t="s">
        <v>353</v>
      </c>
      <c r="C4" s="94" t="s">
        <v>354</v>
      </c>
      <c r="D4" s="98" t="s">
        <v>355</v>
      </c>
      <c r="E4" s="94" t="s">
        <v>356</v>
      </c>
      <c r="F4" s="94" t="s">
        <v>357</v>
      </c>
      <c r="G4" s="94" t="s">
        <v>357</v>
      </c>
      <c r="H4" s="94" t="s">
        <v>357</v>
      </c>
      <c r="I4" s="98"/>
      <c r="J4" s="91"/>
      <c r="K4" s="98"/>
      <c r="L4" s="94"/>
      <c r="M4" s="98"/>
      <c r="N4" s="91"/>
      <c r="O4" s="98"/>
      <c r="P4" s="94"/>
    </row>
    <row r="5" spans="1:17" ht="255" x14ac:dyDescent="0.25">
      <c r="A5" s="91"/>
      <c r="B5" s="98" t="s">
        <v>358</v>
      </c>
      <c r="C5" s="94" t="s">
        <v>105</v>
      </c>
      <c r="D5" s="98" t="s">
        <v>359</v>
      </c>
      <c r="E5" s="91" t="s">
        <v>360</v>
      </c>
      <c r="F5" s="94" t="s">
        <v>252</v>
      </c>
      <c r="G5" s="86" t="s">
        <v>253</v>
      </c>
      <c r="H5" s="94" t="s">
        <v>345</v>
      </c>
      <c r="I5" s="98" t="s">
        <v>361</v>
      </c>
      <c r="J5" s="91"/>
      <c r="K5" s="98"/>
      <c r="L5" s="94"/>
      <c r="M5" s="98"/>
      <c r="N5" s="91"/>
      <c r="O5" s="98"/>
      <c r="P5" s="94" t="s">
        <v>362</v>
      </c>
      <c r="Q5" t="s">
        <v>363</v>
      </c>
    </row>
    <row r="6" spans="1:17" ht="60" x14ac:dyDescent="0.25">
      <c r="A6" s="91"/>
      <c r="B6" s="98" t="s">
        <v>364</v>
      </c>
      <c r="C6" s="94"/>
      <c r="D6" s="154" t="s">
        <v>365</v>
      </c>
      <c r="E6" s="94" t="s">
        <v>366</v>
      </c>
      <c r="F6" s="98"/>
      <c r="G6" s="94"/>
      <c r="H6" s="94" t="s">
        <v>367</v>
      </c>
      <c r="I6" s="98" t="s">
        <v>361</v>
      </c>
      <c r="J6" s="91"/>
      <c r="K6" s="98"/>
      <c r="L6" s="94"/>
      <c r="M6" s="98"/>
      <c r="N6" s="91"/>
      <c r="O6" s="98"/>
      <c r="P6" s="94" t="s">
        <v>368</v>
      </c>
      <c r="Q6" t="s">
        <v>363</v>
      </c>
    </row>
    <row r="7" spans="1:17" ht="105" x14ac:dyDescent="0.25">
      <c r="A7" s="91"/>
      <c r="B7" s="98" t="s">
        <v>369</v>
      </c>
      <c r="C7" s="94" t="s">
        <v>105</v>
      </c>
      <c r="D7" s="98" t="s">
        <v>370</v>
      </c>
      <c r="E7" s="94" t="s">
        <v>371</v>
      </c>
      <c r="F7" s="94" t="s">
        <v>252</v>
      </c>
      <c r="G7" s="86" t="s">
        <v>253</v>
      </c>
      <c r="H7" s="94" t="s">
        <v>345</v>
      </c>
      <c r="I7" s="92" t="s">
        <v>372</v>
      </c>
      <c r="J7" s="91"/>
      <c r="K7" s="98"/>
      <c r="L7" s="94"/>
      <c r="M7" s="98"/>
      <c r="N7" s="91"/>
      <c r="O7" s="98" t="s">
        <v>373</v>
      </c>
      <c r="P7" s="94"/>
      <c r="Q7" t="s">
        <v>348</v>
      </c>
    </row>
    <row r="8" spans="1:17" ht="90" x14ac:dyDescent="0.25">
      <c r="A8" s="86"/>
      <c r="B8" s="98" t="s">
        <v>374</v>
      </c>
      <c r="C8" s="94" t="s">
        <v>113</v>
      </c>
      <c r="D8" s="98" t="s">
        <v>375</v>
      </c>
      <c r="E8" s="87" t="s">
        <v>376</v>
      </c>
      <c r="F8" s="94" t="s">
        <v>252</v>
      </c>
      <c r="G8" s="86" t="s">
        <v>253</v>
      </c>
      <c r="H8" s="94" t="s">
        <v>367</v>
      </c>
      <c r="I8" s="98" t="s">
        <v>377</v>
      </c>
      <c r="J8" s="86"/>
      <c r="K8" s="98"/>
      <c r="L8" s="94"/>
      <c r="M8" s="98"/>
      <c r="N8" s="86"/>
      <c r="O8" s="98" t="s">
        <v>378</v>
      </c>
      <c r="P8" s="94" t="s">
        <v>379</v>
      </c>
      <c r="Q8" t="s">
        <v>348</v>
      </c>
    </row>
    <row r="9" spans="1:17" ht="105" x14ac:dyDescent="0.25">
      <c r="A9" s="86"/>
      <c r="B9" s="98" t="s">
        <v>380</v>
      </c>
      <c r="C9" s="94" t="s">
        <v>105</v>
      </c>
      <c r="D9" s="98" t="s">
        <v>381</v>
      </c>
      <c r="E9" s="87" t="s">
        <v>382</v>
      </c>
      <c r="F9" s="98"/>
      <c r="G9" s="94"/>
      <c r="H9" s="94" t="s">
        <v>383</v>
      </c>
      <c r="I9" s="98" t="s">
        <v>384</v>
      </c>
      <c r="J9" s="86"/>
      <c r="K9" s="98"/>
      <c r="L9" s="94"/>
      <c r="M9" s="98"/>
      <c r="N9" s="86"/>
      <c r="O9" s="98"/>
      <c r="P9" s="94"/>
      <c r="Q9" t="s">
        <v>348</v>
      </c>
    </row>
    <row r="10" spans="1:17" ht="135" x14ac:dyDescent="0.25">
      <c r="A10" s="86"/>
      <c r="B10" s="98" t="s">
        <v>385</v>
      </c>
      <c r="C10" s="94"/>
      <c r="D10" s="98" t="s">
        <v>386</v>
      </c>
      <c r="E10" s="86" t="s">
        <v>387</v>
      </c>
      <c r="F10" s="98"/>
      <c r="G10" s="94"/>
      <c r="H10" s="94" t="s">
        <v>388</v>
      </c>
      <c r="I10" s="98"/>
      <c r="J10" s="86"/>
      <c r="K10" s="98"/>
      <c r="L10" s="94"/>
      <c r="M10" s="98"/>
      <c r="N10" s="86"/>
      <c r="O10" s="98" t="s">
        <v>389</v>
      </c>
      <c r="P10" s="94"/>
      <c r="Q10" t="s">
        <v>390</v>
      </c>
    </row>
    <row r="11" spans="1:17" ht="120" x14ac:dyDescent="0.25">
      <c r="A11" s="91"/>
      <c r="B11" s="98" t="s">
        <v>391</v>
      </c>
      <c r="C11" s="94" t="s">
        <v>105</v>
      </c>
      <c r="D11" s="98" t="s">
        <v>392</v>
      </c>
      <c r="E11" s="94" t="s">
        <v>393</v>
      </c>
      <c r="F11" s="98"/>
      <c r="G11" s="94"/>
      <c r="H11" s="94" t="s">
        <v>345</v>
      </c>
      <c r="I11" s="98" t="s">
        <v>394</v>
      </c>
      <c r="J11" s="91"/>
      <c r="K11" s="98"/>
      <c r="L11" s="94"/>
      <c r="M11" s="98"/>
      <c r="N11" s="91"/>
      <c r="O11" s="98" t="s">
        <v>373</v>
      </c>
      <c r="P11" s="94"/>
    </row>
    <row r="12" spans="1:17" ht="165" x14ac:dyDescent="0.25">
      <c r="A12" s="91"/>
      <c r="B12" s="98" t="s">
        <v>395</v>
      </c>
      <c r="C12" s="94" t="s">
        <v>105</v>
      </c>
      <c r="D12" s="98" t="s">
        <v>396</v>
      </c>
      <c r="E12" s="94" t="s">
        <v>397</v>
      </c>
      <c r="F12" s="98"/>
      <c r="G12" s="94"/>
      <c r="H12" s="94"/>
      <c r="I12" s="98"/>
      <c r="J12" s="91"/>
      <c r="K12" s="98"/>
      <c r="L12" s="94"/>
      <c r="M12" s="98"/>
      <c r="N12" s="91"/>
      <c r="O12" s="98" t="s">
        <v>398</v>
      </c>
      <c r="P12" s="94" t="s">
        <v>399</v>
      </c>
    </row>
    <row r="13" spans="1:17" ht="150" x14ac:dyDescent="0.25">
      <c r="A13" s="91"/>
      <c r="B13" s="98" t="s">
        <v>400</v>
      </c>
      <c r="C13" s="94" t="s">
        <v>113</v>
      </c>
      <c r="D13" s="154" t="s">
        <v>401</v>
      </c>
      <c r="E13" s="94" t="s">
        <v>402</v>
      </c>
      <c r="F13" s="98"/>
      <c r="G13" s="94"/>
      <c r="H13" s="94"/>
      <c r="I13" s="98"/>
      <c r="J13" s="91"/>
      <c r="K13" s="98"/>
      <c r="L13" s="94"/>
      <c r="M13" s="98"/>
      <c r="N13" s="91"/>
      <c r="O13" s="98"/>
      <c r="P13" s="94"/>
    </row>
    <row r="14" spans="1:17" ht="30" x14ac:dyDescent="0.25">
      <c r="A14" s="91"/>
      <c r="B14" s="98" t="s">
        <v>403</v>
      </c>
      <c r="C14" s="94"/>
      <c r="D14" s="98" t="s">
        <v>404</v>
      </c>
      <c r="E14" s="91" t="s">
        <v>405</v>
      </c>
      <c r="F14" s="98"/>
      <c r="G14" s="94"/>
      <c r="H14" s="94" t="s">
        <v>367</v>
      </c>
      <c r="I14" s="98"/>
      <c r="J14" s="91"/>
      <c r="K14" s="98"/>
      <c r="L14" s="94"/>
      <c r="M14" s="98"/>
      <c r="N14" s="91"/>
      <c r="O14" s="98"/>
      <c r="P14" s="94"/>
    </row>
    <row r="15" spans="1:17" ht="30" x14ac:dyDescent="0.25">
      <c r="A15" s="91"/>
      <c r="B15" s="98" t="s">
        <v>406</v>
      </c>
      <c r="C15" s="94"/>
      <c r="D15" s="98" t="s">
        <v>407</v>
      </c>
      <c r="E15" s="91"/>
      <c r="F15" s="98"/>
      <c r="G15" s="94"/>
      <c r="H15" s="94" t="s">
        <v>196</v>
      </c>
      <c r="I15" s="98"/>
      <c r="J15" s="91"/>
      <c r="K15" s="98"/>
      <c r="L15" s="94"/>
      <c r="M15" s="98"/>
      <c r="N15" s="91"/>
      <c r="O15" s="98"/>
      <c r="P15" s="94"/>
    </row>
    <row r="16" spans="1:17" ht="30" x14ac:dyDescent="0.25">
      <c r="A16" s="91"/>
      <c r="B16" s="98" t="s">
        <v>408</v>
      </c>
      <c r="C16" s="94"/>
      <c r="D16" s="98" t="s">
        <v>409</v>
      </c>
      <c r="E16" s="91" t="s">
        <v>410</v>
      </c>
      <c r="F16" s="98"/>
      <c r="G16" s="94"/>
      <c r="H16" s="94" t="s">
        <v>367</v>
      </c>
      <c r="I16" s="98"/>
      <c r="J16" s="91"/>
      <c r="K16" s="98"/>
      <c r="L16" s="94"/>
      <c r="M16" s="98"/>
      <c r="N16" s="91"/>
      <c r="O16" s="98"/>
      <c r="P16" s="94"/>
    </row>
    <row r="17" spans="1:16" ht="45" x14ac:dyDescent="0.25">
      <c r="A17" s="91"/>
      <c r="B17" s="98" t="s">
        <v>411</v>
      </c>
      <c r="C17" s="94"/>
      <c r="D17" s="98" t="s">
        <v>412</v>
      </c>
      <c r="E17" s="94" t="s">
        <v>413</v>
      </c>
      <c r="F17" s="98"/>
      <c r="G17" s="94"/>
      <c r="H17" s="94"/>
      <c r="I17" s="98"/>
      <c r="J17" s="91"/>
      <c r="K17" s="98"/>
      <c r="L17" s="94"/>
      <c r="M17" s="98"/>
      <c r="N17" s="91"/>
      <c r="O17" s="98"/>
      <c r="P17" s="94"/>
    </row>
    <row r="18" spans="1:16" ht="105" x14ac:dyDescent="0.25">
      <c r="A18" s="86"/>
      <c r="B18" s="154" t="s">
        <v>414</v>
      </c>
      <c r="C18" s="94" t="s">
        <v>105</v>
      </c>
      <c r="D18" s="98" t="s">
        <v>415</v>
      </c>
      <c r="E18" s="87" t="s">
        <v>416</v>
      </c>
      <c r="F18" s="98"/>
      <c r="G18" s="94"/>
      <c r="H18" s="94" t="s">
        <v>417</v>
      </c>
      <c r="I18" s="98"/>
      <c r="J18" s="86"/>
      <c r="K18" s="98"/>
      <c r="L18" s="94"/>
      <c r="M18" s="98"/>
      <c r="N18" s="86"/>
      <c r="O18" s="98"/>
      <c r="P18" s="94" t="s">
        <v>418</v>
      </c>
    </row>
    <row r="19" spans="1:16" ht="210" x14ac:dyDescent="0.25">
      <c r="A19" s="86"/>
      <c r="B19" s="98" t="s">
        <v>419</v>
      </c>
      <c r="C19" s="94" t="s">
        <v>105</v>
      </c>
      <c r="D19" s="155" t="s">
        <v>420</v>
      </c>
      <c r="E19" s="87" t="s">
        <v>421</v>
      </c>
      <c r="F19" s="98"/>
      <c r="G19" s="98"/>
      <c r="H19" s="98" t="s">
        <v>344</v>
      </c>
      <c r="I19" s="98"/>
      <c r="J19" s="86"/>
      <c r="K19" s="98"/>
      <c r="L19" s="94"/>
      <c r="M19" s="98"/>
      <c r="N19" s="86"/>
      <c r="O19" s="98" t="s">
        <v>373</v>
      </c>
      <c r="P19" s="94"/>
    </row>
    <row r="20" spans="1:16" ht="105" x14ac:dyDescent="0.25">
      <c r="A20" s="86"/>
      <c r="B20" s="98" t="s">
        <v>422</v>
      </c>
      <c r="C20" s="94" t="s">
        <v>113</v>
      </c>
      <c r="D20" s="98" t="s">
        <v>423</v>
      </c>
      <c r="E20" s="87" t="s">
        <v>424</v>
      </c>
      <c r="F20" s="98"/>
      <c r="G20" s="94"/>
      <c r="H20" s="94" t="s">
        <v>417</v>
      </c>
      <c r="I20" s="98"/>
      <c r="J20" s="86"/>
      <c r="K20" s="98"/>
      <c r="L20" s="94"/>
      <c r="M20" s="98"/>
      <c r="N20" s="86"/>
      <c r="O20" s="98" t="s">
        <v>425</v>
      </c>
      <c r="P20" s="94"/>
    </row>
    <row r="21" spans="1:16" ht="90" x14ac:dyDescent="0.25">
      <c r="A21" s="86"/>
      <c r="B21" s="98" t="s">
        <v>426</v>
      </c>
      <c r="C21" s="94" t="s">
        <v>105</v>
      </c>
      <c r="D21" s="98" t="s">
        <v>427</v>
      </c>
      <c r="E21" s="86" t="s">
        <v>428</v>
      </c>
      <c r="F21" s="98"/>
      <c r="G21" s="94"/>
      <c r="H21" s="94" t="s">
        <v>417</v>
      </c>
      <c r="I21" s="98"/>
      <c r="J21" s="86"/>
      <c r="K21" s="98"/>
      <c r="L21" s="94"/>
      <c r="M21" s="98"/>
      <c r="N21" s="86"/>
      <c r="O21" s="98" t="s">
        <v>373</v>
      </c>
      <c r="P21" s="94"/>
    </row>
    <row r="22" spans="1:16" ht="180" x14ac:dyDescent="0.25">
      <c r="A22" s="86"/>
      <c r="B22" s="98" t="s">
        <v>429</v>
      </c>
      <c r="C22" s="94" t="s">
        <v>99</v>
      </c>
      <c r="D22" s="98" t="s">
        <v>430</v>
      </c>
      <c r="E22" s="86" t="s">
        <v>431</v>
      </c>
      <c r="F22" s="98"/>
      <c r="G22" s="94"/>
      <c r="H22" s="94"/>
      <c r="I22" s="98"/>
      <c r="J22" s="86"/>
      <c r="K22" s="98"/>
      <c r="L22" s="94"/>
      <c r="M22" s="98"/>
      <c r="N22" s="86"/>
      <c r="O22" s="98" t="s">
        <v>432</v>
      </c>
      <c r="P22" s="94"/>
    </row>
    <row r="23" spans="1:16" ht="30" x14ac:dyDescent="0.25">
      <c r="A23" s="91"/>
      <c r="B23" s="98" t="s">
        <v>433</v>
      </c>
      <c r="C23" s="94"/>
      <c r="D23" s="98"/>
      <c r="E23" s="91"/>
      <c r="F23" s="98"/>
      <c r="G23" s="94"/>
      <c r="H23" s="94"/>
      <c r="I23" s="98"/>
      <c r="J23" s="91"/>
      <c r="K23" s="98"/>
      <c r="L23" s="94"/>
      <c r="M23" s="98"/>
      <c r="N23" s="91"/>
      <c r="O23" s="98" t="s">
        <v>373</v>
      </c>
      <c r="P23" s="94"/>
    </row>
    <row r="24" spans="1:16" x14ac:dyDescent="0.25">
      <c r="A24" s="86"/>
      <c r="B24" s="98" t="s">
        <v>434</v>
      </c>
      <c r="C24" s="94"/>
      <c r="D24" s="98"/>
      <c r="E24" s="86"/>
      <c r="F24" s="98"/>
      <c r="G24" s="94"/>
      <c r="H24" s="94"/>
      <c r="I24" s="98"/>
      <c r="J24" s="86"/>
      <c r="K24" s="98"/>
      <c r="L24" s="94"/>
      <c r="M24" s="98"/>
      <c r="N24" s="86"/>
      <c r="O24" s="98" t="s">
        <v>373</v>
      </c>
      <c r="P24" s="94"/>
    </row>
    <row r="25" spans="1:16" x14ac:dyDescent="0.25">
      <c r="A25" s="86"/>
      <c r="B25" s="98" t="s">
        <v>189</v>
      </c>
      <c r="C25" s="94"/>
      <c r="D25" s="98"/>
      <c r="E25" s="86"/>
      <c r="F25" s="98"/>
      <c r="G25" s="94"/>
      <c r="H25" s="94"/>
      <c r="I25" s="98"/>
      <c r="J25" s="86"/>
      <c r="K25" s="98"/>
      <c r="L25" s="94"/>
      <c r="M25" s="98"/>
      <c r="N25" s="86"/>
      <c r="O25" s="98"/>
      <c r="P25" s="94"/>
    </row>
    <row r="26" spans="1:16" ht="45" x14ac:dyDescent="0.25">
      <c r="A26" s="86"/>
      <c r="B26" s="98" t="s">
        <v>435</v>
      </c>
      <c r="C26" s="94"/>
      <c r="D26" s="98"/>
      <c r="E26" s="86"/>
      <c r="F26" s="98"/>
      <c r="G26" s="94"/>
      <c r="H26" s="94"/>
      <c r="I26" s="98"/>
      <c r="J26" s="86"/>
      <c r="K26" s="98"/>
      <c r="L26" s="94"/>
      <c r="M26" s="98"/>
      <c r="N26" s="86"/>
      <c r="O26" s="98"/>
      <c r="P26" s="94"/>
    </row>
    <row r="27" spans="1:16" x14ac:dyDescent="0.25">
      <c r="A27" s="86"/>
      <c r="B27" s="98" t="s">
        <v>436</v>
      </c>
      <c r="C27" s="94"/>
      <c r="D27" s="98"/>
      <c r="E27" s="86"/>
      <c r="F27" s="98"/>
      <c r="G27" s="94"/>
      <c r="H27" s="94"/>
      <c r="I27" s="98"/>
      <c r="J27" s="86"/>
      <c r="K27" s="98"/>
      <c r="L27" s="94"/>
      <c r="M27" s="98"/>
      <c r="N27" s="86"/>
      <c r="O27" s="98"/>
      <c r="P27" s="94"/>
    </row>
    <row r="28" spans="1:16" x14ac:dyDescent="0.25">
      <c r="K28" t="s">
        <v>52</v>
      </c>
      <c r="L28" t="e">
        <f>MAX(0, MIN(100,#REF! -#REF!))</f>
        <v>#REF!</v>
      </c>
    </row>
    <row r="30" spans="1:16" x14ac:dyDescent="0.25">
      <c r="K30" t="s">
        <v>53</v>
      </c>
    </row>
    <row r="31" spans="1:16" x14ac:dyDescent="0.25">
      <c r="K31" t="s">
        <v>54</v>
      </c>
    </row>
    <row r="32" spans="1:16" x14ac:dyDescent="0.25">
      <c r="K32" t="s">
        <v>55</v>
      </c>
    </row>
    <row r="33" spans="11:11" x14ac:dyDescent="0.25">
      <c r="K33" t="s">
        <v>56</v>
      </c>
    </row>
    <row r="34" spans="11:11" x14ac:dyDescent="0.25">
      <c r="K34" t="s">
        <v>57</v>
      </c>
    </row>
    <row r="35" spans="11:11" x14ac:dyDescent="0.25"/>
    <row r="36" spans="11:11" x14ac:dyDescent="0.25"/>
    <row r="37" spans="11:11" x14ac:dyDescent="0.25"/>
    <row r="38" spans="11:11" x14ac:dyDescent="0.25"/>
    <row r="39" spans="11:11" x14ac:dyDescent="0.25"/>
    <row r="40" spans="11:11" x14ac:dyDescent="0.25"/>
    <row r="41" spans="11:11" x14ac:dyDescent="0.25"/>
    <row r="42" spans="11:11" x14ac:dyDescent="0.25"/>
    <row r="43" spans="11:11" x14ac:dyDescent="0.25"/>
    <row r="44" spans="11:11" x14ac:dyDescent="0.25"/>
    <row r="45" spans="11:11" x14ac:dyDescent="0.25"/>
    <row r="46" spans="11:11" x14ac:dyDescent="0.25"/>
    <row r="47" spans="11:11" x14ac:dyDescent="0.25"/>
    <row r="48" spans="11:11"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2" x14ac:dyDescent="0.25"/>
    <row r="64" x14ac:dyDescent="0.25"/>
    <row r="65" x14ac:dyDescent="0.25"/>
    <row r="66" x14ac:dyDescent="0.25"/>
    <row r="67" x14ac:dyDescent="0.25"/>
  </sheetData>
  <dataValidations count="1">
    <dataValidation allowBlank="1" showInputMessage="1" showErrorMessage="1" sqref="G1:I1" xr:uid="{87341BAA-D44A-4065-B137-98A00A467D83}"/>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7831E-3DFB-49E1-BB50-F614F89DA6F0}">
  <dimension ref="A1:K42"/>
  <sheetViews>
    <sheetView workbookViewId="0">
      <selection activeCell="E9" sqref="E9"/>
    </sheetView>
  </sheetViews>
  <sheetFormatPr defaultRowHeight="15.75" x14ac:dyDescent="0.25"/>
  <cols>
    <col min="2" max="2" width="14.875" bestFit="1" customWidth="1"/>
    <col min="3" max="3" width="36.375" bestFit="1" customWidth="1"/>
    <col min="4" max="4" width="56" customWidth="1"/>
    <col min="5" max="5" width="23.375" bestFit="1" customWidth="1"/>
    <col min="6" max="6" width="10.625" customWidth="1"/>
    <col min="8" max="8" width="18.125" bestFit="1" customWidth="1"/>
    <col min="9" max="9" width="41.25" customWidth="1"/>
    <col min="10" max="10" width="31.25" customWidth="1"/>
    <col min="11" max="11" width="10.125" customWidth="1"/>
  </cols>
  <sheetData>
    <row r="1" spans="1:11" x14ac:dyDescent="0.25">
      <c r="A1" s="165" t="s">
        <v>0</v>
      </c>
      <c r="B1" s="165"/>
      <c r="C1" s="165" t="s">
        <v>462</v>
      </c>
      <c r="D1" s="166" t="s">
        <v>463</v>
      </c>
      <c r="E1" s="167" t="s">
        <v>11</v>
      </c>
      <c r="F1" s="165" t="s">
        <v>473</v>
      </c>
      <c r="G1" s="165" t="s">
        <v>474</v>
      </c>
      <c r="H1" s="165" t="s">
        <v>475</v>
      </c>
      <c r="I1" s="168" t="s">
        <v>476</v>
      </c>
      <c r="J1" s="161" t="s">
        <v>477</v>
      </c>
      <c r="K1" s="158"/>
    </row>
    <row r="2" spans="1:11" ht="81" customHeight="1" x14ac:dyDescent="0.25">
      <c r="A2" s="141" t="s">
        <v>16</v>
      </c>
      <c r="B2" s="141" t="s">
        <v>464</v>
      </c>
      <c r="C2" s="169" t="s">
        <v>445</v>
      </c>
      <c r="D2" s="170" t="s">
        <v>488</v>
      </c>
      <c r="E2" s="86" t="s">
        <v>23</v>
      </c>
      <c r="F2" s="141"/>
      <c r="G2" s="141"/>
      <c r="H2" s="141"/>
      <c r="I2" s="169" t="s">
        <v>478</v>
      </c>
      <c r="J2" s="157"/>
      <c r="K2" s="157"/>
    </row>
    <row r="3" spans="1:11" ht="75" x14ac:dyDescent="0.25">
      <c r="A3" s="141" t="s">
        <v>33</v>
      </c>
      <c r="B3" s="141" t="s">
        <v>466</v>
      </c>
      <c r="C3" s="169" t="s">
        <v>451</v>
      </c>
      <c r="D3" s="172" t="s">
        <v>489</v>
      </c>
      <c r="E3" s="86" t="s">
        <v>23</v>
      </c>
      <c r="F3" s="171">
        <v>3</v>
      </c>
      <c r="G3" s="141"/>
      <c r="H3" s="141" t="s">
        <v>486</v>
      </c>
      <c r="I3" s="173" t="s">
        <v>485</v>
      </c>
      <c r="J3" s="159" t="s">
        <v>500</v>
      </c>
      <c r="K3" s="157"/>
    </row>
    <row r="4" spans="1:11" ht="87" customHeight="1" x14ac:dyDescent="0.25">
      <c r="A4" s="141" t="s">
        <v>33</v>
      </c>
      <c r="B4" s="169" t="s">
        <v>465</v>
      </c>
      <c r="C4" s="169" t="s">
        <v>446</v>
      </c>
      <c r="D4" s="159" t="s">
        <v>498</v>
      </c>
      <c r="E4" s="86" t="s">
        <v>23</v>
      </c>
      <c r="F4" s="141">
        <v>12</v>
      </c>
      <c r="G4" s="141"/>
      <c r="H4" s="141" t="s">
        <v>479</v>
      </c>
      <c r="I4" s="170" t="s">
        <v>484</v>
      </c>
      <c r="J4" s="159"/>
      <c r="K4" s="157"/>
    </row>
    <row r="5" spans="1:11" ht="105" customHeight="1" x14ac:dyDescent="0.25">
      <c r="A5" s="141" t="s">
        <v>33</v>
      </c>
      <c r="B5" s="169" t="s">
        <v>465</v>
      </c>
      <c r="C5" s="169" t="s">
        <v>495</v>
      </c>
      <c r="D5" s="170" t="s">
        <v>497</v>
      </c>
      <c r="E5" s="86" t="s">
        <v>23</v>
      </c>
      <c r="F5" s="141">
        <v>4</v>
      </c>
      <c r="G5" s="141"/>
      <c r="H5" s="141"/>
      <c r="I5" s="170"/>
      <c r="J5" s="159"/>
      <c r="K5" s="157"/>
    </row>
    <row r="6" spans="1:11" ht="47.25" x14ac:dyDescent="0.25">
      <c r="A6" s="141" t="s">
        <v>108</v>
      </c>
      <c r="B6" s="141" t="s">
        <v>466</v>
      </c>
      <c r="C6" s="169" t="s">
        <v>448</v>
      </c>
      <c r="D6" s="170" t="s">
        <v>503</v>
      </c>
      <c r="E6" s="86" t="s">
        <v>23</v>
      </c>
      <c r="F6" s="141">
        <v>2</v>
      </c>
      <c r="G6" s="141"/>
      <c r="H6" s="141"/>
      <c r="I6" s="170"/>
      <c r="J6" s="159"/>
      <c r="K6" s="180" t="s">
        <v>505</v>
      </c>
    </row>
    <row r="7" spans="1:11" ht="120" customHeight="1" x14ac:dyDescent="0.25">
      <c r="A7" s="141" t="s">
        <v>108</v>
      </c>
      <c r="B7" s="141" t="s">
        <v>466</v>
      </c>
      <c r="C7" s="169" t="s">
        <v>448</v>
      </c>
      <c r="D7" s="170" t="s">
        <v>504</v>
      </c>
      <c r="E7" s="86" t="s">
        <v>111</v>
      </c>
      <c r="F7" s="171">
        <v>17</v>
      </c>
      <c r="G7" s="141"/>
      <c r="H7" s="141"/>
      <c r="I7" s="170"/>
      <c r="J7" s="159"/>
      <c r="K7" s="157"/>
    </row>
    <row r="8" spans="1:11" ht="31.5" x14ac:dyDescent="0.25">
      <c r="A8" s="141" t="s">
        <v>115</v>
      </c>
      <c r="B8" s="141" t="s">
        <v>467</v>
      </c>
      <c r="C8" s="169" t="s">
        <v>450</v>
      </c>
      <c r="D8" s="170"/>
      <c r="E8" s="86" t="s">
        <v>20</v>
      </c>
      <c r="F8" s="171">
        <v>1</v>
      </c>
      <c r="G8" s="141"/>
      <c r="H8" s="141"/>
      <c r="I8" s="170"/>
      <c r="J8" s="162" t="s">
        <v>499</v>
      </c>
      <c r="K8" s="157"/>
    </row>
    <row r="9" spans="1:11" ht="49.5" customHeight="1" x14ac:dyDescent="0.25">
      <c r="A9" s="141" t="s">
        <v>120</v>
      </c>
      <c r="B9" s="141" t="s">
        <v>496</v>
      </c>
      <c r="C9" s="169" t="s">
        <v>447</v>
      </c>
      <c r="D9" s="170" t="s">
        <v>502</v>
      </c>
      <c r="E9" s="86" t="s">
        <v>20</v>
      </c>
      <c r="F9" s="141">
        <v>4</v>
      </c>
      <c r="G9" s="141"/>
      <c r="H9" s="141"/>
      <c r="I9" s="169"/>
      <c r="J9" s="157"/>
      <c r="K9" s="157"/>
    </row>
    <row r="10" spans="1:11" x14ac:dyDescent="0.25">
      <c r="A10" s="141"/>
      <c r="B10" s="141" t="s">
        <v>466</v>
      </c>
      <c r="C10" s="169" t="s">
        <v>452</v>
      </c>
      <c r="D10" s="170" t="s">
        <v>469</v>
      </c>
      <c r="E10" s="86" t="s">
        <v>20</v>
      </c>
      <c r="F10" s="141">
        <v>4</v>
      </c>
      <c r="G10" s="141"/>
      <c r="H10" s="141"/>
      <c r="I10" s="169"/>
      <c r="J10" s="157"/>
      <c r="K10" s="157"/>
    </row>
    <row r="11" spans="1:11" x14ac:dyDescent="0.25">
      <c r="A11" s="141"/>
      <c r="B11" s="141" t="s">
        <v>466</v>
      </c>
      <c r="C11" s="169" t="s">
        <v>453</v>
      </c>
      <c r="D11" s="170" t="s">
        <v>470</v>
      </c>
      <c r="E11" s="86" t="s">
        <v>20</v>
      </c>
      <c r="F11" s="171">
        <v>2</v>
      </c>
      <c r="G11" s="141"/>
      <c r="H11" s="141"/>
      <c r="I11" s="169" t="s">
        <v>480</v>
      </c>
      <c r="J11" s="157"/>
      <c r="K11" s="157"/>
    </row>
    <row r="12" spans="1:11" s="164" customFormat="1" ht="90" x14ac:dyDescent="0.25">
      <c r="A12" s="174"/>
      <c r="B12" s="174" t="s">
        <v>466</v>
      </c>
      <c r="C12" s="175" t="s">
        <v>454</v>
      </c>
      <c r="D12" s="176" t="s">
        <v>490</v>
      </c>
      <c r="E12" s="86" t="s">
        <v>20</v>
      </c>
      <c r="F12" s="177">
        <v>8</v>
      </c>
      <c r="G12" s="174"/>
      <c r="H12" s="174"/>
      <c r="I12" s="175" t="s">
        <v>480</v>
      </c>
      <c r="J12" s="163"/>
      <c r="K12" s="163"/>
    </row>
    <row r="13" spans="1:11" s="164" customFormat="1" x14ac:dyDescent="0.25">
      <c r="A13" s="174"/>
      <c r="B13" s="174" t="s">
        <v>466</v>
      </c>
      <c r="C13" s="175" t="s">
        <v>455</v>
      </c>
      <c r="D13" s="178" t="s">
        <v>471</v>
      </c>
      <c r="E13" s="86" t="s">
        <v>20</v>
      </c>
      <c r="F13" s="177">
        <v>2</v>
      </c>
      <c r="G13" s="174"/>
      <c r="H13" s="174" t="s">
        <v>432</v>
      </c>
      <c r="I13" s="175" t="s">
        <v>480</v>
      </c>
      <c r="J13" s="163"/>
      <c r="K13" s="163"/>
    </row>
    <row r="14" spans="1:11" s="164" customFormat="1" x14ac:dyDescent="0.25">
      <c r="A14" s="174"/>
      <c r="B14" s="174" t="s">
        <v>466</v>
      </c>
      <c r="C14" s="175" t="s">
        <v>456</v>
      </c>
      <c r="D14" s="178" t="s">
        <v>472</v>
      </c>
      <c r="E14" s="86" t="s">
        <v>20</v>
      </c>
      <c r="F14" s="174">
        <v>2</v>
      </c>
      <c r="G14" s="174"/>
      <c r="H14" s="174" t="s">
        <v>482</v>
      </c>
      <c r="I14" s="175" t="s">
        <v>483</v>
      </c>
      <c r="J14" s="163"/>
      <c r="K14" s="163"/>
    </row>
    <row r="15" spans="1:11" ht="31.5" x14ac:dyDescent="0.25">
      <c r="A15" s="174"/>
      <c r="B15" s="174" t="s">
        <v>487</v>
      </c>
      <c r="C15" s="175" t="s">
        <v>501</v>
      </c>
      <c r="D15" s="178" t="s">
        <v>468</v>
      </c>
      <c r="E15" s="86" t="s">
        <v>20</v>
      </c>
      <c r="F15" s="174">
        <v>6</v>
      </c>
      <c r="G15" s="174"/>
      <c r="H15" s="174"/>
      <c r="I15" s="175" t="s">
        <v>481</v>
      </c>
      <c r="J15" s="163"/>
      <c r="K15" s="163"/>
    </row>
    <row r="16" spans="1:11" x14ac:dyDescent="0.25">
      <c r="A16" s="141"/>
      <c r="B16" s="141" t="s">
        <v>467</v>
      </c>
      <c r="C16" s="169" t="s">
        <v>449</v>
      </c>
      <c r="D16" s="170"/>
      <c r="E16" s="86" t="s">
        <v>20</v>
      </c>
      <c r="F16" s="171"/>
      <c r="G16" s="141"/>
      <c r="H16" s="141"/>
      <c r="I16" s="170"/>
      <c r="J16" s="162"/>
      <c r="K16" s="157"/>
    </row>
    <row r="17" spans="1:11" x14ac:dyDescent="0.25">
      <c r="A17" s="141"/>
      <c r="B17" s="141" t="s">
        <v>487</v>
      </c>
      <c r="C17" s="169" t="s">
        <v>457</v>
      </c>
      <c r="D17" s="170"/>
      <c r="E17" s="86" t="s">
        <v>20</v>
      </c>
      <c r="F17" s="171"/>
      <c r="G17" s="141"/>
      <c r="H17" s="141"/>
      <c r="I17" s="170"/>
      <c r="J17" s="159"/>
      <c r="K17" s="157"/>
    </row>
    <row r="18" spans="1:11" x14ac:dyDescent="0.25">
      <c r="A18" s="141"/>
      <c r="B18" s="141" t="s">
        <v>487</v>
      </c>
      <c r="C18" s="169" t="s">
        <v>458</v>
      </c>
      <c r="D18" s="170"/>
      <c r="E18" s="86" t="s">
        <v>20</v>
      </c>
      <c r="F18" s="171"/>
      <c r="G18" s="141"/>
      <c r="H18" s="141"/>
      <c r="I18" s="170"/>
      <c r="J18" s="159"/>
      <c r="K18" s="157"/>
    </row>
    <row r="19" spans="1:11" x14ac:dyDescent="0.25">
      <c r="A19" s="141"/>
      <c r="B19" s="141" t="s">
        <v>487</v>
      </c>
      <c r="C19" s="169" t="s">
        <v>459</v>
      </c>
      <c r="D19" s="170"/>
      <c r="E19" s="179"/>
      <c r="F19" s="171"/>
      <c r="G19" s="141"/>
      <c r="H19" s="141"/>
      <c r="I19" s="170"/>
      <c r="J19" s="159"/>
      <c r="K19" s="157"/>
    </row>
    <row r="20" spans="1:11" x14ac:dyDescent="0.25">
      <c r="A20" s="141"/>
      <c r="B20" s="141" t="s">
        <v>487</v>
      </c>
      <c r="C20" s="169" t="s">
        <v>460</v>
      </c>
      <c r="D20" s="170"/>
      <c r="E20" s="179"/>
      <c r="F20" s="171"/>
      <c r="G20" s="141"/>
      <c r="H20" s="141"/>
      <c r="I20" s="170"/>
      <c r="J20" s="159"/>
      <c r="K20" s="157"/>
    </row>
    <row r="21" spans="1:11" x14ac:dyDescent="0.25">
      <c r="A21" s="141"/>
      <c r="B21" s="141" t="s">
        <v>487</v>
      </c>
      <c r="C21" s="169" t="s">
        <v>461</v>
      </c>
      <c r="D21" s="170"/>
      <c r="E21" s="171"/>
      <c r="F21" s="141"/>
      <c r="G21" s="141"/>
      <c r="H21" s="170"/>
      <c r="I21" s="170"/>
      <c r="J21" s="157"/>
    </row>
    <row r="22" spans="1:11" x14ac:dyDescent="0.25">
      <c r="A22" s="2"/>
      <c r="B22" s="2"/>
      <c r="C22" s="157"/>
      <c r="D22" s="159"/>
      <c r="E22" s="2"/>
      <c r="F22" s="2"/>
      <c r="G22" s="2"/>
      <c r="H22" s="157"/>
      <c r="I22" s="157"/>
      <c r="J22" s="157"/>
    </row>
    <row r="23" spans="1:11" x14ac:dyDescent="0.25">
      <c r="A23" s="2"/>
      <c r="B23" s="2"/>
      <c r="C23" s="157"/>
      <c r="D23" s="159"/>
      <c r="E23" s="2"/>
      <c r="F23" s="2"/>
      <c r="G23" s="2"/>
      <c r="H23" s="157"/>
      <c r="I23" s="157"/>
      <c r="J23" s="157"/>
    </row>
    <row r="24" spans="1:11" x14ac:dyDescent="0.25">
      <c r="A24" s="2"/>
      <c r="B24" s="2"/>
      <c r="C24" s="157"/>
      <c r="D24" s="160"/>
      <c r="E24" s="76" t="s">
        <v>49</v>
      </c>
      <c r="F24" s="106">
        <f>SUM(F2:F21)</f>
        <v>67</v>
      </c>
      <c r="G24" s="2"/>
      <c r="H24" s="157"/>
      <c r="I24" s="157"/>
      <c r="J24" s="157"/>
    </row>
    <row r="25" spans="1:11" x14ac:dyDescent="0.25">
      <c r="A25" s="2"/>
      <c r="B25" s="2"/>
      <c r="E25" s="77" t="s">
        <v>50</v>
      </c>
      <c r="F25" s="99">
        <f xml:space="preserve"> SUMIF(E2:E21, "Yes",F2:F21)</f>
        <v>21</v>
      </c>
      <c r="G25" s="2"/>
      <c r="H25" s="157"/>
      <c r="I25" s="157"/>
      <c r="J25" s="157"/>
    </row>
    <row r="26" spans="1:11" x14ac:dyDescent="0.25">
      <c r="A26" s="2"/>
      <c r="B26" s="2"/>
      <c r="E26" s="76" t="s">
        <v>51</v>
      </c>
      <c r="F26" s="109">
        <f>FLOOR((((F30-(F30*F31)-F33)*F29)-(((F30-(F30*F31)-F33)*F29)*F32)),1)</f>
        <v>19</v>
      </c>
      <c r="G26" s="2"/>
      <c r="H26" s="157"/>
      <c r="I26" s="157"/>
      <c r="J26" s="157"/>
    </row>
    <row r="27" spans="1:11" x14ac:dyDescent="0.25">
      <c r="A27" s="2"/>
      <c r="B27" s="2"/>
      <c r="E27" s="77" t="s">
        <v>52</v>
      </c>
      <c r="F27" s="110">
        <f>MAX(0, MIN(100, F25-F26))</f>
        <v>2</v>
      </c>
      <c r="G27" s="2"/>
      <c r="H27" s="157"/>
      <c r="I27" s="157"/>
      <c r="J27" s="157"/>
    </row>
    <row r="28" spans="1:11" x14ac:dyDescent="0.25">
      <c r="A28" s="2"/>
      <c r="B28" s="2"/>
      <c r="E28" s="78"/>
      <c r="F28" s="107"/>
      <c r="G28" s="2"/>
      <c r="H28" s="157"/>
      <c r="I28" s="157"/>
      <c r="J28" s="157"/>
    </row>
    <row r="29" spans="1:11" x14ac:dyDescent="0.25">
      <c r="A29" s="2"/>
      <c r="B29" s="2"/>
      <c r="E29" s="77" t="s">
        <v>53</v>
      </c>
      <c r="F29" s="110">
        <v>3.5</v>
      </c>
      <c r="G29" s="2"/>
      <c r="H29" s="157"/>
      <c r="I29" s="157"/>
      <c r="J29" s="157"/>
    </row>
    <row r="30" spans="1:11" x14ac:dyDescent="0.25">
      <c r="A30" s="2"/>
      <c r="B30" s="2"/>
      <c r="E30" s="77" t="s">
        <v>54</v>
      </c>
      <c r="F30" s="110">
        <v>13</v>
      </c>
      <c r="G30" s="2"/>
      <c r="H30" s="157"/>
      <c r="I30" s="157"/>
      <c r="J30" s="157"/>
    </row>
    <row r="31" spans="1:11" x14ac:dyDescent="0.25">
      <c r="A31" s="2"/>
      <c r="B31" s="2"/>
      <c r="E31" s="77" t="s">
        <v>55</v>
      </c>
      <c r="F31" s="110">
        <v>0.4</v>
      </c>
      <c r="G31" s="2"/>
      <c r="H31" s="2"/>
      <c r="I31" s="157"/>
      <c r="J31" s="157"/>
      <c r="K31" s="157"/>
    </row>
    <row r="32" spans="1:11" x14ac:dyDescent="0.25">
      <c r="A32" s="2"/>
      <c r="B32" s="2"/>
      <c r="E32" s="76" t="s">
        <v>56</v>
      </c>
      <c r="F32" s="110">
        <v>0.2</v>
      </c>
      <c r="G32" s="2"/>
      <c r="H32" s="2"/>
      <c r="I32" s="157"/>
      <c r="J32" s="157"/>
      <c r="K32" s="157"/>
    </row>
    <row r="33" spans="1:11" x14ac:dyDescent="0.25">
      <c r="A33" s="2"/>
      <c r="B33" s="2"/>
      <c r="E33" s="77" t="s">
        <v>57</v>
      </c>
      <c r="F33" s="110">
        <v>1</v>
      </c>
      <c r="G33" s="2"/>
      <c r="H33" s="2"/>
      <c r="I33" s="157"/>
      <c r="J33" s="157"/>
      <c r="K33" s="157"/>
    </row>
    <row r="34" spans="1:11" x14ac:dyDescent="0.25">
      <c r="A34" s="2"/>
      <c r="B34" s="2"/>
      <c r="G34" s="2"/>
      <c r="H34" s="2"/>
      <c r="I34" s="157"/>
      <c r="J34" s="157"/>
      <c r="K34" s="157"/>
    </row>
    <row r="35" spans="1:11" x14ac:dyDescent="0.25">
      <c r="A35" s="2"/>
      <c r="B35" s="2"/>
      <c r="C35" s="157"/>
      <c r="D35" s="159"/>
      <c r="F35" s="2"/>
      <c r="G35" s="2"/>
      <c r="H35" s="2"/>
      <c r="I35" s="157"/>
      <c r="J35" s="157"/>
      <c r="K35" s="157"/>
    </row>
    <row r="36" spans="1:11" x14ac:dyDescent="0.25">
      <c r="A36" s="2"/>
      <c r="B36" s="2"/>
      <c r="C36" s="157"/>
      <c r="D36" s="159"/>
      <c r="F36" s="2"/>
      <c r="G36" s="2"/>
      <c r="H36" s="2"/>
      <c r="I36" s="157"/>
      <c r="J36" s="157"/>
      <c r="K36" s="157"/>
    </row>
    <row r="37" spans="1:11" x14ac:dyDescent="0.25">
      <c r="A37" s="2"/>
      <c r="B37" s="2"/>
      <c r="C37" s="157"/>
      <c r="D37" s="159"/>
      <c r="F37" s="2"/>
      <c r="G37" s="2"/>
      <c r="H37" s="2"/>
      <c r="I37" s="157"/>
      <c r="J37" s="157"/>
      <c r="K37" s="157"/>
    </row>
    <row r="38" spans="1:11" x14ac:dyDescent="0.25">
      <c r="A38" s="2"/>
      <c r="B38" s="2"/>
      <c r="C38" s="157"/>
      <c r="D38" s="159"/>
      <c r="F38" s="2"/>
      <c r="G38" s="2"/>
      <c r="H38" s="2"/>
      <c r="I38" s="157"/>
      <c r="J38" s="157"/>
      <c r="K38" s="157"/>
    </row>
    <row r="39" spans="1:11" x14ac:dyDescent="0.25">
      <c r="A39" s="2"/>
      <c r="B39" s="2"/>
      <c r="C39" s="157"/>
      <c r="D39" s="159"/>
      <c r="F39" s="2"/>
      <c r="G39" s="2"/>
      <c r="H39" s="2"/>
      <c r="I39" s="157"/>
      <c r="J39" s="157"/>
      <c r="K39" s="157"/>
    </row>
    <row r="40" spans="1:11" x14ac:dyDescent="0.25">
      <c r="A40" s="2"/>
      <c r="B40" s="2"/>
      <c r="C40" s="157"/>
      <c r="D40" s="159"/>
      <c r="F40" s="2"/>
      <c r="G40" s="2"/>
      <c r="H40" s="2"/>
      <c r="I40" s="157"/>
      <c r="J40" s="157"/>
      <c r="K40" s="157"/>
    </row>
    <row r="41" spans="1:11" x14ac:dyDescent="0.25">
      <c r="A41" s="2"/>
      <c r="B41" s="2"/>
      <c r="C41" s="157"/>
      <c r="D41" s="159"/>
      <c r="F41" s="2"/>
      <c r="G41" s="2"/>
      <c r="H41" s="2"/>
      <c r="I41" s="157"/>
      <c r="J41" s="157"/>
      <c r="K41" s="157"/>
    </row>
    <row r="42" spans="1:11" x14ac:dyDescent="0.25">
      <c r="A42" s="2"/>
      <c r="B42" s="2"/>
      <c r="C42" s="157"/>
      <c r="D42" s="159"/>
      <c r="F42" s="2"/>
      <c r="G42" s="2"/>
      <c r="H42" s="2"/>
      <c r="I42" s="157"/>
      <c r="J42" s="157"/>
      <c r="K42" s="157"/>
    </row>
  </sheetData>
  <conditionalFormatting sqref="E32:E33 E1:E19">
    <cfRule type="containsText" dxfId="26" priority="6" operator="containsText" text="No">
      <formula>NOT(ISERROR(SEARCH("No",E1)))</formula>
    </cfRule>
    <cfRule type="containsText" dxfId="25" priority="7" operator="containsText" text="Yes">
      <formula>NOT(ISERROR(SEARCH("Yes",E1)))</formula>
    </cfRule>
    <cfRule type="containsText" dxfId="24" priority="8" operator="containsText" text="TBD">
      <formula>NOT(ISERROR(SEARCH("TBD",E1)))</formula>
    </cfRule>
  </conditionalFormatting>
  <conditionalFormatting sqref="F27">
    <cfRule type="cellIs" dxfId="23" priority="4" operator="greaterThan">
      <formula>0</formula>
    </cfRule>
    <cfRule type="cellIs" dxfId="22" priority="5" operator="equal">
      <formula>0</formula>
    </cfRule>
  </conditionalFormatting>
  <conditionalFormatting sqref="E34:E42">
    <cfRule type="containsText" dxfId="21" priority="1" operator="containsText" text="No">
      <formula>NOT(ISERROR(SEARCH("No",E34)))</formula>
    </cfRule>
    <cfRule type="containsText" dxfId="20" priority="2" operator="containsText" text="Yes">
      <formula>NOT(ISERROR(SEARCH("Yes",E34)))</formula>
    </cfRule>
    <cfRule type="containsText" dxfId="19" priority="3" operator="containsText" text="TBD">
      <formula>NOT(ISERROR(SEARCH("TBD",E34)))</formula>
    </cfRule>
  </conditionalFormatting>
  <dataValidations count="1">
    <dataValidation allowBlank="1" showInputMessage="1" showErrorMessage="1" sqref="J1" xr:uid="{786C9E6E-ABEA-400D-8CFF-DFFA6A2A32FC}"/>
  </dataValidations>
  <hyperlinks>
    <hyperlink ref="K6" r:id="rId1" display="https://payoneerinc-my.sharepoint.com/:x:/r/personal/danielgr_payoneer_com/_layouts/15/Doc.aspx?sourcedoc=%7BD15F69E1-5071-4C0F-8B9D-2CB81CFEFE67%7D&amp;file=VoP%20-%20domain%20work%20plan.xlsx&amp;action=default&amp;mobileredirect=true&amp;wdExp=TEAMS-TREATMENT&amp;web=1&amp;TeamsCID=17497155-8bbb-41bc-99f0-4130cecbbacc&amp;isSPOFile=1&amp;ovuser=decee90c-ce03-461e-8c21-dd538e181c75%2Cnogamos%40payoneer.com&amp;clickparams=eyJBcHBOYW1lIjoiVGVhbXMtRGVza3RvcCIsIkFwcFZlcnNpb24iOiI1MC8yNjA1MTQxNjcxMyIsIkhhc0ZlZGVyYXRlZFVzZXIiOmZhbHNlfQ%3D%3D" xr:uid="{91D3ABD2-5DFD-4A26-AD55-829BF0CFBB8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2C6B45B-AAC1-4EB1-B2C8-54B2333901A4}">
          <x14:formula1>
            <xm:f>Dropdowns!$D$2:$D$30</xm:f>
          </x14:formula1>
          <xm:sqref>E2:E18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1B1AD-DE14-446D-A7FF-6F1A7ED4FD5D}">
  <dimension ref="A1:M7"/>
  <sheetViews>
    <sheetView tabSelected="1" workbookViewId="0">
      <selection activeCell="H2" sqref="H2"/>
    </sheetView>
  </sheetViews>
  <sheetFormatPr defaultRowHeight="15.75" x14ac:dyDescent="0.25"/>
  <cols>
    <col min="2" max="2" width="11.5" customWidth="1"/>
    <col min="3" max="3" width="19.5" bestFit="1" customWidth="1"/>
    <col min="5" max="5" width="14.5" style="3" bestFit="1" customWidth="1"/>
    <col min="6" max="6" width="9" bestFit="1" customWidth="1"/>
    <col min="7" max="7" width="10.625" customWidth="1"/>
    <col min="8" max="8" width="10.125" customWidth="1"/>
    <col min="9" max="10" width="9" bestFit="1" customWidth="1"/>
    <col min="11" max="11" width="10.875" customWidth="1"/>
    <col min="12" max="12" width="12.375" customWidth="1"/>
    <col min="13" max="13" width="11.75" customWidth="1"/>
  </cols>
  <sheetData>
    <row r="1" spans="1:13" ht="45.75" thickBot="1" x14ac:dyDescent="0.3">
      <c r="A1" s="89" t="s">
        <v>0</v>
      </c>
      <c r="B1" s="89" t="s">
        <v>439</v>
      </c>
      <c r="C1" s="89" t="s">
        <v>440</v>
      </c>
      <c r="D1" s="89" t="s">
        <v>441</v>
      </c>
      <c r="E1" s="89" t="s">
        <v>5</v>
      </c>
      <c r="F1" s="156" t="s">
        <v>7</v>
      </c>
      <c r="G1" s="156" t="s">
        <v>8</v>
      </c>
      <c r="H1" s="89" t="s">
        <v>11</v>
      </c>
      <c r="I1" s="89" t="s">
        <v>444</v>
      </c>
      <c r="J1" s="89" t="s">
        <v>142</v>
      </c>
      <c r="K1" s="89" t="s">
        <v>13</v>
      </c>
      <c r="L1" s="89" t="s">
        <v>443</v>
      </c>
      <c r="M1" s="89" t="s">
        <v>442</v>
      </c>
    </row>
    <row r="2" spans="1:13" ht="63" x14ac:dyDescent="0.25">
      <c r="B2" s="3" t="s">
        <v>517</v>
      </c>
      <c r="C2" s="3" t="s">
        <v>515</v>
      </c>
      <c r="D2" s="3"/>
      <c r="E2" s="3" t="s">
        <v>516</v>
      </c>
      <c r="F2" s="3" t="s">
        <v>208</v>
      </c>
      <c r="G2" s="3" t="s">
        <v>518</v>
      </c>
      <c r="H2" t="s">
        <v>519</v>
      </c>
    </row>
    <row r="3" spans="1:13" ht="63" x14ac:dyDescent="0.25">
      <c r="B3" s="3" t="s">
        <v>517</v>
      </c>
      <c r="C3" s="3" t="s">
        <v>510</v>
      </c>
      <c r="D3" s="3"/>
      <c r="F3" s="3" t="s">
        <v>208</v>
      </c>
      <c r="G3" s="3" t="s">
        <v>518</v>
      </c>
      <c r="H3" s="3"/>
      <c r="I3" s="3"/>
    </row>
    <row r="4" spans="1:13" ht="63" x14ac:dyDescent="0.25">
      <c r="B4" s="3" t="s">
        <v>521</v>
      </c>
      <c r="C4" s="3" t="s">
        <v>514</v>
      </c>
      <c r="D4" s="3"/>
      <c r="F4" s="3" t="s">
        <v>208</v>
      </c>
      <c r="G4" s="3" t="s">
        <v>518</v>
      </c>
      <c r="H4" s="3"/>
      <c r="I4" s="3"/>
    </row>
    <row r="6" spans="1:13" ht="78.75" x14ac:dyDescent="0.25">
      <c r="B6" s="3" t="s">
        <v>517</v>
      </c>
      <c r="C6" t="s">
        <v>520</v>
      </c>
      <c r="E6" s="3" t="s">
        <v>525</v>
      </c>
      <c r="F6" s="3" t="s">
        <v>208</v>
      </c>
    </row>
    <row r="7" spans="1:13" ht="31.5" x14ac:dyDescent="0.25">
      <c r="B7" t="s">
        <v>522</v>
      </c>
      <c r="C7" t="s">
        <v>523</v>
      </c>
      <c r="F7" s="3" t="s">
        <v>208</v>
      </c>
      <c r="G7" t="s">
        <v>524</v>
      </c>
    </row>
  </sheetData>
  <dataValidations count="1">
    <dataValidation allowBlank="1" showInputMessage="1" showErrorMessage="1" sqref="G1" xr:uid="{5519F6D5-CF41-47C4-AC2E-CD4762208660}"/>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A72F4-7F3C-4998-B334-490814DB2395}">
  <sheetPr>
    <tabColor theme="1" tint="0.499984740745262"/>
  </sheetPr>
  <dimension ref="A1:S45"/>
  <sheetViews>
    <sheetView workbookViewId="0">
      <pane ySplit="2" topLeftCell="A3" activePane="bottomLeft" state="frozen"/>
      <selection pane="bottomLeft" activeCell="E36" sqref="E36"/>
    </sheetView>
  </sheetViews>
  <sheetFormatPr defaultRowHeight="15.75" outlineLevelRow="1" x14ac:dyDescent="0.25"/>
  <cols>
    <col min="1" max="1" width="35" customWidth="1"/>
    <col min="2" max="2" width="10.75" bestFit="1" customWidth="1"/>
    <col min="7" max="8" width="9.375" bestFit="1" customWidth="1"/>
    <col min="11" max="12" width="9.625" bestFit="1" customWidth="1"/>
    <col min="15" max="17" width="9.625" bestFit="1" customWidth="1"/>
    <col min="18" max="18" width="13" style="2" customWidth="1"/>
    <col min="19" max="19" width="14.5" bestFit="1" customWidth="1"/>
  </cols>
  <sheetData>
    <row r="1" spans="1:19" x14ac:dyDescent="0.25">
      <c r="A1" s="186" t="s">
        <v>58</v>
      </c>
      <c r="B1" s="188" t="s">
        <v>59</v>
      </c>
      <c r="C1" s="190" t="s">
        <v>60</v>
      </c>
      <c r="D1" s="40">
        <v>45931</v>
      </c>
      <c r="E1" s="41">
        <v>45936</v>
      </c>
      <c r="F1" s="40">
        <v>45937</v>
      </c>
      <c r="G1" s="41">
        <v>45950</v>
      </c>
      <c r="H1" s="40">
        <v>45951</v>
      </c>
      <c r="I1" s="41">
        <v>45964</v>
      </c>
      <c r="J1" s="40">
        <v>45965</v>
      </c>
      <c r="K1" s="41">
        <v>45978</v>
      </c>
      <c r="L1" s="40">
        <v>45979</v>
      </c>
      <c r="M1" s="41">
        <v>45992</v>
      </c>
      <c r="N1" s="40">
        <v>45993</v>
      </c>
      <c r="O1" s="41">
        <v>46006</v>
      </c>
      <c r="P1" s="40">
        <v>46007</v>
      </c>
      <c r="Q1" s="5">
        <v>46020</v>
      </c>
      <c r="R1" s="37"/>
      <c r="S1" s="14"/>
    </row>
    <row r="2" spans="1:19" ht="29.25" customHeight="1" x14ac:dyDescent="0.25">
      <c r="A2" s="187"/>
      <c r="B2" s="189"/>
      <c r="C2" s="191"/>
      <c r="D2" s="184" t="s">
        <v>61</v>
      </c>
      <c r="E2" s="185"/>
      <c r="F2" s="184" t="s">
        <v>62</v>
      </c>
      <c r="G2" s="185"/>
      <c r="H2" s="184" t="s">
        <v>63</v>
      </c>
      <c r="I2" s="185"/>
      <c r="J2" s="184" t="s">
        <v>64</v>
      </c>
      <c r="K2" s="185"/>
      <c r="L2" s="184" t="s">
        <v>65</v>
      </c>
      <c r="M2" s="185"/>
      <c r="N2" s="184" t="s">
        <v>66</v>
      </c>
      <c r="O2" s="185"/>
      <c r="P2" s="184" t="s">
        <v>67</v>
      </c>
      <c r="Q2" s="185"/>
      <c r="R2" s="45" t="s">
        <v>68</v>
      </c>
      <c r="S2" s="50" t="s">
        <v>69</v>
      </c>
    </row>
    <row r="3" spans="1:19" x14ac:dyDescent="0.25">
      <c r="A3" s="56" t="s">
        <v>70</v>
      </c>
      <c r="B3" s="57"/>
      <c r="C3" s="58"/>
      <c r="D3" s="14"/>
      <c r="E3" s="38"/>
      <c r="F3" s="38"/>
      <c r="G3" s="38"/>
      <c r="H3" s="38"/>
      <c r="I3" s="38"/>
      <c r="J3" s="38"/>
      <c r="K3" s="38"/>
      <c r="L3" s="38"/>
      <c r="M3" s="39"/>
      <c r="N3" s="38"/>
      <c r="O3" s="38"/>
      <c r="P3" s="38"/>
      <c r="Q3" s="38"/>
      <c r="R3" s="49">
        <v>0</v>
      </c>
      <c r="S3" s="48" t="e">
        <f>R3/R$42</f>
        <v>#DIV/0!</v>
      </c>
    </row>
    <row r="4" spans="1:19" hidden="1" outlineLevel="1" x14ac:dyDescent="0.25">
      <c r="A4" s="59" t="s">
        <v>71</v>
      </c>
      <c r="B4" s="60"/>
      <c r="C4" s="27"/>
      <c r="D4" s="42"/>
      <c r="E4" s="33"/>
      <c r="F4" s="34"/>
      <c r="G4" s="33"/>
      <c r="H4" s="34"/>
      <c r="I4" s="33"/>
      <c r="J4" s="34"/>
      <c r="K4" s="33"/>
      <c r="L4" s="34"/>
      <c r="M4" s="33"/>
      <c r="N4" s="34"/>
      <c r="O4" s="33"/>
      <c r="P4" s="34"/>
      <c r="Q4" s="33"/>
      <c r="R4" s="47">
        <f>COUNTIF(D4:Q4,$B4)</f>
        <v>0</v>
      </c>
      <c r="S4" s="37"/>
    </row>
    <row r="5" spans="1:19" hidden="1" outlineLevel="1" x14ac:dyDescent="0.25">
      <c r="A5" s="30" t="s">
        <v>72</v>
      </c>
      <c r="B5" s="24"/>
      <c r="C5" s="26"/>
      <c r="D5" s="7"/>
      <c r="E5" s="26"/>
      <c r="F5" s="25"/>
      <c r="G5" s="26"/>
      <c r="H5" s="7"/>
      <c r="I5" s="23"/>
      <c r="J5" s="7"/>
      <c r="K5" s="23"/>
      <c r="L5" s="7"/>
      <c r="M5" s="23"/>
      <c r="N5" s="7"/>
      <c r="O5" s="23"/>
      <c r="P5" s="7"/>
      <c r="Q5" s="23"/>
      <c r="R5" s="47">
        <f t="shared" ref="R5:R7" si="0">COUNTIF(D5:Q5,$B5)</f>
        <v>0</v>
      </c>
      <c r="S5" s="37"/>
    </row>
    <row r="6" spans="1:19" hidden="1" outlineLevel="1" x14ac:dyDescent="0.25">
      <c r="A6" s="30" t="s">
        <v>73</v>
      </c>
      <c r="B6" s="24"/>
      <c r="C6" s="26"/>
      <c r="D6" s="7"/>
      <c r="E6" s="23"/>
      <c r="F6" s="25"/>
      <c r="G6" s="44"/>
      <c r="H6" s="7"/>
      <c r="I6" s="23"/>
      <c r="J6" s="7"/>
      <c r="K6" s="23"/>
      <c r="L6" s="7"/>
      <c r="M6" s="23"/>
      <c r="N6" s="7"/>
      <c r="O6" s="23"/>
      <c r="P6" s="7"/>
      <c r="Q6" s="23"/>
      <c r="R6" s="47">
        <f t="shared" si="0"/>
        <v>0</v>
      </c>
      <c r="S6" s="37"/>
    </row>
    <row r="7" spans="1:19" hidden="1" outlineLevel="1" x14ac:dyDescent="0.25">
      <c r="A7" s="30" t="s">
        <v>74</v>
      </c>
      <c r="B7" s="24"/>
      <c r="C7" s="26"/>
      <c r="D7" s="7"/>
      <c r="E7" s="26"/>
      <c r="F7" s="25"/>
      <c r="G7" s="26"/>
      <c r="H7" s="7"/>
      <c r="I7" s="23"/>
      <c r="J7" s="7"/>
      <c r="K7" s="23"/>
      <c r="L7" s="7"/>
      <c r="M7" s="23"/>
      <c r="N7" s="7"/>
      <c r="O7" s="23"/>
      <c r="P7" s="7"/>
      <c r="Q7" s="23"/>
      <c r="R7" s="47">
        <f t="shared" si="0"/>
        <v>0</v>
      </c>
      <c r="S7" s="37"/>
    </row>
    <row r="8" spans="1:19" hidden="1" outlineLevel="1" x14ac:dyDescent="0.25">
      <c r="A8" s="53" t="s">
        <v>75</v>
      </c>
      <c r="B8" s="61"/>
      <c r="C8" s="28"/>
      <c r="D8" s="35"/>
      <c r="E8" s="36"/>
      <c r="F8" s="35"/>
      <c r="G8" s="36"/>
      <c r="H8" s="43"/>
      <c r="I8" s="36"/>
      <c r="J8" s="35"/>
      <c r="K8" s="36"/>
      <c r="L8" s="43"/>
      <c r="M8" s="36"/>
      <c r="N8" s="35"/>
      <c r="O8" s="36"/>
      <c r="P8" s="35"/>
      <c r="Q8" s="36"/>
      <c r="R8" s="46">
        <f>COUNTIF(D8:Q8,$B8)</f>
        <v>0</v>
      </c>
      <c r="S8" s="37"/>
    </row>
    <row r="9" spans="1:19" collapsed="1" x14ac:dyDescent="0.25">
      <c r="A9" s="56" t="s">
        <v>76</v>
      </c>
      <c r="B9" s="57"/>
      <c r="C9" s="58"/>
      <c r="D9" s="14"/>
      <c r="E9" s="38"/>
      <c r="F9" s="38"/>
      <c r="G9" s="38"/>
      <c r="H9" s="38"/>
      <c r="I9" s="38"/>
      <c r="J9" s="38"/>
      <c r="K9" s="38"/>
      <c r="L9" s="38"/>
      <c r="M9" s="39"/>
      <c r="N9" s="38"/>
      <c r="O9" s="38"/>
      <c r="P9" s="38"/>
      <c r="Q9" s="38"/>
      <c r="R9" s="49">
        <v>0</v>
      </c>
      <c r="S9" s="48" t="e">
        <f>R9/R$42</f>
        <v>#DIV/0!</v>
      </c>
    </row>
    <row r="10" spans="1:19" hidden="1" outlineLevel="1" x14ac:dyDescent="0.25">
      <c r="A10" s="59" t="s">
        <v>71</v>
      </c>
      <c r="B10" s="60"/>
      <c r="C10" s="27"/>
      <c r="D10" s="42"/>
      <c r="E10" s="33"/>
      <c r="F10" s="34"/>
      <c r="G10" s="33"/>
      <c r="H10" s="34"/>
      <c r="I10" s="33"/>
      <c r="J10" s="34"/>
      <c r="K10" s="33"/>
      <c r="L10" s="34"/>
      <c r="M10" s="33"/>
      <c r="N10" s="34"/>
      <c r="O10" s="33"/>
      <c r="P10" s="34"/>
      <c r="Q10" s="33"/>
      <c r="R10" s="47">
        <f>COUNTIF(D10:Q10,$B10)</f>
        <v>0</v>
      </c>
      <c r="S10" s="37"/>
    </row>
    <row r="11" spans="1:19" hidden="1" outlineLevel="1" x14ac:dyDescent="0.25">
      <c r="A11" s="30" t="s">
        <v>72</v>
      </c>
      <c r="B11" s="24"/>
      <c r="C11" s="26"/>
      <c r="D11" s="7"/>
      <c r="E11" s="26"/>
      <c r="F11" s="25"/>
      <c r="G11" s="26"/>
      <c r="H11" s="7"/>
      <c r="I11" s="23"/>
      <c r="J11" s="7"/>
      <c r="K11" s="23"/>
      <c r="L11" s="7"/>
      <c r="M11" s="23"/>
      <c r="N11" s="7"/>
      <c r="O11" s="23"/>
      <c r="P11" s="7"/>
      <c r="Q11" s="23"/>
      <c r="R11" s="47">
        <f t="shared" ref="R11:R13" si="1">COUNTIF(D11:Q11,$B11)</f>
        <v>0</v>
      </c>
      <c r="S11" s="37"/>
    </row>
    <row r="12" spans="1:19" hidden="1" outlineLevel="1" x14ac:dyDescent="0.25">
      <c r="A12" s="30" t="s">
        <v>73</v>
      </c>
      <c r="B12" s="24"/>
      <c r="C12" s="26"/>
      <c r="D12" s="7"/>
      <c r="E12" s="23"/>
      <c r="F12" s="25"/>
      <c r="G12" s="44"/>
      <c r="H12" s="7"/>
      <c r="I12" s="23"/>
      <c r="J12" s="7"/>
      <c r="K12" s="23"/>
      <c r="L12" s="7"/>
      <c r="M12" s="23"/>
      <c r="N12" s="7"/>
      <c r="O12" s="23"/>
      <c r="P12" s="7"/>
      <c r="Q12" s="23"/>
      <c r="R12" s="47">
        <f t="shared" si="1"/>
        <v>0</v>
      </c>
      <c r="S12" s="37"/>
    </row>
    <row r="13" spans="1:19" hidden="1" outlineLevel="1" x14ac:dyDescent="0.25">
      <c r="A13" s="30" t="s">
        <v>74</v>
      </c>
      <c r="B13" s="24"/>
      <c r="C13" s="26"/>
      <c r="D13" s="7"/>
      <c r="E13" s="26"/>
      <c r="F13" s="25"/>
      <c r="G13" s="26"/>
      <c r="H13" s="7"/>
      <c r="I13" s="23"/>
      <c r="J13" s="7"/>
      <c r="K13" s="23"/>
      <c r="L13" s="7"/>
      <c r="M13" s="23"/>
      <c r="N13" s="7"/>
      <c r="O13" s="23"/>
      <c r="P13" s="7"/>
      <c r="Q13" s="23"/>
      <c r="R13" s="47">
        <f t="shared" si="1"/>
        <v>0</v>
      </c>
      <c r="S13" s="37"/>
    </row>
    <row r="14" spans="1:19" hidden="1" outlineLevel="1" x14ac:dyDescent="0.25">
      <c r="A14" s="53" t="s">
        <v>75</v>
      </c>
      <c r="B14" s="61"/>
      <c r="C14" s="28"/>
      <c r="D14" s="35"/>
      <c r="E14" s="36"/>
      <c r="F14" s="35"/>
      <c r="G14" s="36"/>
      <c r="H14" s="43"/>
      <c r="I14" s="36"/>
      <c r="J14" s="35"/>
      <c r="K14" s="36"/>
      <c r="L14" s="43"/>
      <c r="M14" s="36"/>
      <c r="N14" s="35"/>
      <c r="O14" s="36"/>
      <c r="P14" s="35"/>
      <c r="Q14" s="36"/>
      <c r="R14" s="46">
        <f>COUNTIF(D14:Q14,$B14)</f>
        <v>0</v>
      </c>
      <c r="S14" s="37"/>
    </row>
    <row r="15" spans="1:19" collapsed="1" x14ac:dyDescent="0.25">
      <c r="A15" s="56" t="s">
        <v>77</v>
      </c>
      <c r="B15" s="57"/>
      <c r="C15" s="58"/>
      <c r="D15" s="14"/>
      <c r="E15" s="38"/>
      <c r="F15" s="38"/>
      <c r="G15" s="38"/>
      <c r="H15" s="38"/>
      <c r="I15" s="38"/>
      <c r="J15" s="38"/>
      <c r="K15" s="38"/>
      <c r="L15" s="38"/>
      <c r="M15" s="39"/>
      <c r="N15" s="38"/>
      <c r="O15" s="38"/>
      <c r="P15" s="38"/>
      <c r="Q15" s="38"/>
      <c r="R15" s="49">
        <v>0</v>
      </c>
      <c r="S15" s="48" t="e">
        <f>R15/R$42</f>
        <v>#DIV/0!</v>
      </c>
    </row>
    <row r="16" spans="1:19" hidden="1" outlineLevel="1" x14ac:dyDescent="0.25">
      <c r="A16" s="59" t="s">
        <v>71</v>
      </c>
      <c r="B16" s="60"/>
      <c r="C16" s="27"/>
      <c r="D16" s="42"/>
      <c r="E16" s="33"/>
      <c r="F16" s="34"/>
      <c r="G16" s="33"/>
      <c r="H16" s="34"/>
      <c r="I16" s="33"/>
      <c r="J16" s="34"/>
      <c r="K16" s="33"/>
      <c r="L16" s="34"/>
      <c r="M16" s="33"/>
      <c r="N16" s="34"/>
      <c r="O16" s="33"/>
      <c r="P16" s="34"/>
      <c r="Q16" s="33"/>
      <c r="R16" s="47">
        <f>COUNTIF(D16:Q16,$B16)</f>
        <v>0</v>
      </c>
      <c r="S16" s="37"/>
    </row>
    <row r="17" spans="1:19" hidden="1" outlineLevel="1" x14ac:dyDescent="0.25">
      <c r="A17" s="30" t="s">
        <v>72</v>
      </c>
      <c r="B17" s="24"/>
      <c r="C17" s="26"/>
      <c r="D17" s="7"/>
      <c r="E17" s="26"/>
      <c r="F17" s="25"/>
      <c r="G17" s="26"/>
      <c r="H17" s="7"/>
      <c r="I17" s="23"/>
      <c r="J17" s="7"/>
      <c r="K17" s="23"/>
      <c r="L17" s="7"/>
      <c r="M17" s="23"/>
      <c r="N17" s="7"/>
      <c r="O17" s="23"/>
      <c r="P17" s="7"/>
      <c r="Q17" s="23"/>
      <c r="R17" s="47">
        <f t="shared" ref="R17:R19" si="2">COUNTIF(D17:Q17,$B17)</f>
        <v>0</v>
      </c>
      <c r="S17" s="37"/>
    </row>
    <row r="18" spans="1:19" hidden="1" outlineLevel="1" x14ac:dyDescent="0.25">
      <c r="A18" s="30" t="s">
        <v>73</v>
      </c>
      <c r="B18" s="24"/>
      <c r="C18" s="26"/>
      <c r="D18" s="7"/>
      <c r="E18" s="23"/>
      <c r="F18" s="25"/>
      <c r="G18" s="44"/>
      <c r="H18" s="7"/>
      <c r="I18" s="23"/>
      <c r="J18" s="7"/>
      <c r="K18" s="23"/>
      <c r="L18" s="7"/>
      <c r="M18" s="23"/>
      <c r="N18" s="7"/>
      <c r="O18" s="23"/>
      <c r="P18" s="7"/>
      <c r="Q18" s="23"/>
      <c r="R18" s="47">
        <f t="shared" si="2"/>
        <v>0</v>
      </c>
      <c r="S18" s="37"/>
    </row>
    <row r="19" spans="1:19" hidden="1" outlineLevel="1" x14ac:dyDescent="0.25">
      <c r="A19" s="30" t="s">
        <v>74</v>
      </c>
      <c r="B19" s="24"/>
      <c r="C19" s="26"/>
      <c r="D19" s="7"/>
      <c r="E19" s="26"/>
      <c r="F19" s="25"/>
      <c r="G19" s="26"/>
      <c r="H19" s="7"/>
      <c r="I19" s="23"/>
      <c r="J19" s="7"/>
      <c r="K19" s="23"/>
      <c r="L19" s="7"/>
      <c r="M19" s="23"/>
      <c r="N19" s="7"/>
      <c r="O19" s="23"/>
      <c r="P19" s="7"/>
      <c r="Q19" s="23"/>
      <c r="R19" s="47">
        <f t="shared" si="2"/>
        <v>0</v>
      </c>
      <c r="S19" s="37"/>
    </row>
    <row r="20" spans="1:19" hidden="1" outlineLevel="1" x14ac:dyDescent="0.25">
      <c r="A20" s="53" t="s">
        <v>75</v>
      </c>
      <c r="B20" s="61"/>
      <c r="C20" s="28"/>
      <c r="D20" s="35"/>
      <c r="E20" s="36"/>
      <c r="F20" s="35"/>
      <c r="G20" s="36"/>
      <c r="H20" s="43"/>
      <c r="I20" s="36"/>
      <c r="J20" s="35"/>
      <c r="K20" s="36"/>
      <c r="L20" s="43"/>
      <c r="M20" s="36"/>
      <c r="N20" s="35"/>
      <c r="O20" s="36"/>
      <c r="P20" s="35"/>
      <c r="Q20" s="36"/>
      <c r="R20" s="46">
        <f>COUNTIF(D20:Q20,$B20)</f>
        <v>0</v>
      </c>
      <c r="S20" s="37"/>
    </row>
    <row r="21" spans="1:19" collapsed="1" x14ac:dyDescent="0.25">
      <c r="A21" s="56" t="s">
        <v>78</v>
      </c>
      <c r="B21" s="57"/>
      <c r="C21" s="58"/>
      <c r="D21" s="14"/>
      <c r="E21" s="38"/>
      <c r="F21" s="38"/>
      <c r="G21" s="38"/>
      <c r="H21" s="38"/>
      <c r="I21" s="38"/>
      <c r="J21" s="38"/>
      <c r="K21" s="38"/>
      <c r="L21" s="38"/>
      <c r="M21" s="39"/>
      <c r="N21" s="38"/>
      <c r="O21" s="38"/>
      <c r="P21" s="38"/>
      <c r="Q21" s="38"/>
      <c r="R21" s="49">
        <v>0</v>
      </c>
      <c r="S21" s="48" t="e">
        <f>R21/R$42</f>
        <v>#DIV/0!</v>
      </c>
    </row>
    <row r="22" spans="1:19" hidden="1" outlineLevel="1" x14ac:dyDescent="0.25">
      <c r="A22" s="59" t="s">
        <v>71</v>
      </c>
      <c r="B22" s="60"/>
      <c r="C22" s="27"/>
      <c r="D22" s="42"/>
      <c r="E22" s="33"/>
      <c r="F22" s="34"/>
      <c r="G22" s="33"/>
      <c r="H22" s="34"/>
      <c r="I22" s="33"/>
      <c r="J22" s="34"/>
      <c r="K22" s="33"/>
      <c r="L22" s="34"/>
      <c r="M22" s="33"/>
      <c r="N22" s="34"/>
      <c r="O22" s="33"/>
      <c r="P22" s="34"/>
      <c r="Q22" s="33"/>
      <c r="R22" s="47">
        <f>COUNTIF(D22:Q22,$B22)</f>
        <v>0</v>
      </c>
      <c r="S22" s="37"/>
    </row>
    <row r="23" spans="1:19" hidden="1" outlineLevel="1" x14ac:dyDescent="0.25">
      <c r="A23" s="30" t="s">
        <v>72</v>
      </c>
      <c r="B23" s="24"/>
      <c r="C23" s="26"/>
      <c r="D23" s="7"/>
      <c r="E23" s="26"/>
      <c r="F23" s="25"/>
      <c r="G23" s="26"/>
      <c r="H23" s="7"/>
      <c r="I23" s="23"/>
      <c r="J23" s="7"/>
      <c r="K23" s="23"/>
      <c r="L23" s="7"/>
      <c r="M23" s="23"/>
      <c r="N23" s="7"/>
      <c r="O23" s="23"/>
      <c r="P23" s="7"/>
      <c r="Q23" s="23"/>
      <c r="R23" s="47">
        <f t="shared" ref="R23:R25" si="3">COUNTIF(D23:Q23,$B23)</f>
        <v>0</v>
      </c>
      <c r="S23" s="37"/>
    </row>
    <row r="24" spans="1:19" hidden="1" outlineLevel="1" x14ac:dyDescent="0.25">
      <c r="A24" s="30" t="s">
        <v>73</v>
      </c>
      <c r="B24" s="24"/>
      <c r="C24" s="26"/>
      <c r="D24" s="7"/>
      <c r="E24" s="23"/>
      <c r="F24" s="25"/>
      <c r="G24" s="44"/>
      <c r="H24" s="7"/>
      <c r="I24" s="23"/>
      <c r="J24" s="7"/>
      <c r="K24" s="23"/>
      <c r="L24" s="7"/>
      <c r="M24" s="23"/>
      <c r="N24" s="7"/>
      <c r="O24" s="23"/>
      <c r="P24" s="7"/>
      <c r="Q24" s="23"/>
      <c r="R24" s="47">
        <f t="shared" si="3"/>
        <v>0</v>
      </c>
      <c r="S24" s="37"/>
    </row>
    <row r="25" spans="1:19" hidden="1" outlineLevel="1" x14ac:dyDescent="0.25">
      <c r="A25" s="30" t="s">
        <v>74</v>
      </c>
      <c r="B25" s="24"/>
      <c r="C25" s="26"/>
      <c r="D25" s="7"/>
      <c r="E25" s="26"/>
      <c r="F25" s="25"/>
      <c r="G25" s="26"/>
      <c r="H25" s="7"/>
      <c r="I25" s="23"/>
      <c r="J25" s="7"/>
      <c r="K25" s="23"/>
      <c r="L25" s="7"/>
      <c r="M25" s="23"/>
      <c r="N25" s="7"/>
      <c r="O25" s="23"/>
      <c r="P25" s="7"/>
      <c r="Q25" s="23"/>
      <c r="R25" s="47">
        <f t="shared" si="3"/>
        <v>0</v>
      </c>
      <c r="S25" s="37"/>
    </row>
    <row r="26" spans="1:19" hidden="1" outlineLevel="1" x14ac:dyDescent="0.25">
      <c r="A26" s="53" t="s">
        <v>75</v>
      </c>
      <c r="B26" s="61"/>
      <c r="C26" s="28"/>
      <c r="D26" s="35"/>
      <c r="E26" s="36"/>
      <c r="F26" s="35"/>
      <c r="G26" s="36"/>
      <c r="H26" s="43"/>
      <c r="I26" s="36"/>
      <c r="J26" s="35"/>
      <c r="K26" s="36"/>
      <c r="L26" s="43"/>
      <c r="M26" s="36"/>
      <c r="N26" s="35"/>
      <c r="O26" s="36"/>
      <c r="P26" s="35"/>
      <c r="Q26" s="36"/>
      <c r="R26" s="46">
        <f>COUNTIF(D26:Q26,$B26)</f>
        <v>0</v>
      </c>
      <c r="S26" s="37"/>
    </row>
    <row r="27" spans="1:19" collapsed="1" x14ac:dyDescent="0.25">
      <c r="A27" s="56" t="s">
        <v>79</v>
      </c>
      <c r="B27" s="57"/>
      <c r="C27" s="58"/>
      <c r="D27" s="14"/>
      <c r="E27" s="38"/>
      <c r="F27" s="38"/>
      <c r="G27" s="38"/>
      <c r="H27" s="38"/>
      <c r="I27" s="38"/>
      <c r="J27" s="38"/>
      <c r="K27" s="38"/>
      <c r="L27" s="38"/>
      <c r="M27" s="39"/>
      <c r="N27" s="38"/>
      <c r="O27" s="38"/>
      <c r="P27" s="38"/>
      <c r="Q27" s="38"/>
      <c r="R27" s="49">
        <v>0</v>
      </c>
      <c r="S27" s="48" t="e">
        <f>R27/R$42</f>
        <v>#DIV/0!</v>
      </c>
    </row>
    <row r="28" spans="1:19" hidden="1" outlineLevel="1" x14ac:dyDescent="0.25">
      <c r="A28" s="59" t="s">
        <v>71</v>
      </c>
      <c r="B28" s="60"/>
      <c r="C28" s="27"/>
      <c r="D28" s="42"/>
      <c r="E28" s="33"/>
      <c r="F28" s="34"/>
      <c r="G28" s="33"/>
      <c r="H28" s="34"/>
      <c r="I28" s="33"/>
      <c r="J28" s="34"/>
      <c r="K28" s="33"/>
      <c r="L28" s="34"/>
      <c r="M28" s="33"/>
      <c r="N28" s="34"/>
      <c r="O28" s="33"/>
      <c r="P28" s="34"/>
      <c r="Q28" s="33"/>
      <c r="R28" s="47">
        <f>COUNTIF(D28:Q28,$B28)</f>
        <v>0</v>
      </c>
      <c r="S28" s="37"/>
    </row>
    <row r="29" spans="1:19" hidden="1" outlineLevel="1" x14ac:dyDescent="0.25">
      <c r="A29" s="30" t="s">
        <v>72</v>
      </c>
      <c r="B29" s="24"/>
      <c r="C29" s="26"/>
      <c r="D29" s="7"/>
      <c r="E29" s="26"/>
      <c r="F29" s="25"/>
      <c r="G29" s="26"/>
      <c r="H29" s="7"/>
      <c r="I29" s="23"/>
      <c r="J29" s="7"/>
      <c r="K29" s="23"/>
      <c r="L29" s="7"/>
      <c r="M29" s="23"/>
      <c r="N29" s="7"/>
      <c r="O29" s="23"/>
      <c r="P29" s="7"/>
      <c r="Q29" s="23"/>
      <c r="R29" s="47">
        <f t="shared" ref="R29:R31" si="4">COUNTIF(D29:Q29,$B29)</f>
        <v>0</v>
      </c>
      <c r="S29" s="37"/>
    </row>
    <row r="30" spans="1:19" hidden="1" outlineLevel="1" x14ac:dyDescent="0.25">
      <c r="A30" s="30" t="s">
        <v>73</v>
      </c>
      <c r="B30" s="24"/>
      <c r="C30" s="26"/>
      <c r="D30" s="7"/>
      <c r="E30" s="23"/>
      <c r="F30" s="25"/>
      <c r="G30" s="44"/>
      <c r="H30" s="7"/>
      <c r="I30" s="23"/>
      <c r="J30" s="7"/>
      <c r="K30" s="23"/>
      <c r="L30" s="7"/>
      <c r="M30" s="23"/>
      <c r="N30" s="7"/>
      <c r="O30" s="23"/>
      <c r="P30" s="7"/>
      <c r="Q30" s="23"/>
      <c r="R30" s="47">
        <f t="shared" si="4"/>
        <v>0</v>
      </c>
      <c r="S30" s="37"/>
    </row>
    <row r="31" spans="1:19" hidden="1" outlineLevel="1" x14ac:dyDescent="0.25">
      <c r="A31" s="30" t="s">
        <v>74</v>
      </c>
      <c r="B31" s="24"/>
      <c r="C31" s="26"/>
      <c r="D31" s="7"/>
      <c r="E31" s="26"/>
      <c r="F31" s="25"/>
      <c r="G31" s="26"/>
      <c r="H31" s="7"/>
      <c r="I31" s="23"/>
      <c r="J31" s="7"/>
      <c r="K31" s="23"/>
      <c r="L31" s="7"/>
      <c r="M31" s="23"/>
      <c r="N31" s="7"/>
      <c r="O31" s="23"/>
      <c r="P31" s="7"/>
      <c r="Q31" s="23"/>
      <c r="R31" s="47">
        <f t="shared" si="4"/>
        <v>0</v>
      </c>
      <c r="S31" s="37"/>
    </row>
    <row r="32" spans="1:19" hidden="1" outlineLevel="1" x14ac:dyDescent="0.25">
      <c r="A32" s="53" t="s">
        <v>75</v>
      </c>
      <c r="B32" s="29"/>
      <c r="C32" s="26"/>
      <c r="D32" s="35"/>
      <c r="E32" s="36"/>
      <c r="F32" s="35"/>
      <c r="G32" s="36"/>
      <c r="H32" s="43"/>
      <c r="I32" s="36"/>
      <c r="J32" s="35"/>
      <c r="K32" s="36"/>
      <c r="L32" s="43"/>
      <c r="M32" s="36"/>
      <c r="N32" s="35"/>
      <c r="O32" s="36"/>
      <c r="P32" s="35"/>
      <c r="Q32" s="36"/>
      <c r="R32" s="46">
        <f>COUNTIF(D32:Q32,$B32)</f>
        <v>0</v>
      </c>
      <c r="S32" s="37"/>
    </row>
    <row r="33" spans="1:18" collapsed="1" x14ac:dyDescent="0.25">
      <c r="A33" s="181"/>
    </row>
    <row r="34" spans="1:18" x14ac:dyDescent="0.25">
      <c r="A34" s="182"/>
    </row>
    <row r="35" spans="1:18" ht="27" x14ac:dyDescent="0.25">
      <c r="A35" s="182"/>
      <c r="R35" s="54" t="s">
        <v>80</v>
      </c>
    </row>
    <row r="36" spans="1:18" x14ac:dyDescent="0.25">
      <c r="A36" s="182"/>
      <c r="B36" s="18" t="s">
        <v>81</v>
      </c>
      <c r="C36" s="31"/>
      <c r="D36" s="9">
        <f>COUNTIF(D$4:D$32,$B32)</f>
        <v>0</v>
      </c>
      <c r="E36" s="9">
        <f>COUNTIF(E$4:E$32,$B32)</f>
        <v>0</v>
      </c>
      <c r="F36" s="9">
        <f t="shared" ref="F36:Q36" si="5">COUNTIF(F$4:F$32,$B32)</f>
        <v>0</v>
      </c>
      <c r="G36" s="9">
        <f t="shared" si="5"/>
        <v>0</v>
      </c>
      <c r="H36" s="9">
        <f t="shared" si="5"/>
        <v>0</v>
      </c>
      <c r="I36" s="9">
        <f t="shared" si="5"/>
        <v>0</v>
      </c>
      <c r="J36" s="9">
        <f t="shared" si="5"/>
        <v>0</v>
      </c>
      <c r="K36" s="9">
        <f t="shared" si="5"/>
        <v>0</v>
      </c>
      <c r="L36" s="9">
        <f t="shared" si="5"/>
        <v>0</v>
      </c>
      <c r="M36" s="9">
        <f t="shared" si="5"/>
        <v>0</v>
      </c>
      <c r="N36" s="9">
        <f t="shared" si="5"/>
        <v>0</v>
      </c>
      <c r="O36" s="9">
        <f t="shared" si="5"/>
        <v>0</v>
      </c>
      <c r="P36" s="9">
        <f t="shared" si="5"/>
        <v>0</v>
      </c>
      <c r="Q36" s="9">
        <f t="shared" si="5"/>
        <v>0</v>
      </c>
      <c r="R36" s="10">
        <f>SUM(D36:Q36)</f>
        <v>0</v>
      </c>
    </row>
    <row r="37" spans="1:18" x14ac:dyDescent="0.25">
      <c r="A37" s="182"/>
      <c r="B37" s="19" t="s">
        <v>82</v>
      </c>
      <c r="C37" s="31"/>
      <c r="D37" s="9">
        <f t="shared" ref="D37:Q41" si="6">COUNTIF(D$4:D$32,$B33)</f>
        <v>0</v>
      </c>
      <c r="E37" s="9">
        <f t="shared" si="6"/>
        <v>0</v>
      </c>
      <c r="F37" s="9">
        <f t="shared" si="6"/>
        <v>0</v>
      </c>
      <c r="G37" s="9">
        <f t="shared" si="6"/>
        <v>0</v>
      </c>
      <c r="H37" s="9">
        <f t="shared" si="6"/>
        <v>0</v>
      </c>
      <c r="I37" s="9">
        <f t="shared" si="6"/>
        <v>0</v>
      </c>
      <c r="J37" s="9">
        <f t="shared" si="6"/>
        <v>0</v>
      </c>
      <c r="K37" s="9">
        <f t="shared" si="6"/>
        <v>0</v>
      </c>
      <c r="L37" s="9">
        <f t="shared" si="6"/>
        <v>0</v>
      </c>
      <c r="M37" s="9">
        <f t="shared" si="6"/>
        <v>0</v>
      </c>
      <c r="N37" s="9">
        <f t="shared" si="6"/>
        <v>0</v>
      </c>
      <c r="O37" s="9">
        <f t="shared" si="6"/>
        <v>0</v>
      </c>
      <c r="P37" s="9">
        <f t="shared" si="6"/>
        <v>0</v>
      </c>
      <c r="Q37" s="9">
        <f t="shared" si="6"/>
        <v>0</v>
      </c>
      <c r="R37" s="11">
        <f>SUM(D37:Q37)</f>
        <v>0</v>
      </c>
    </row>
    <row r="38" spans="1:18" x14ac:dyDescent="0.25">
      <c r="A38" s="182"/>
      <c r="B38" s="20" t="s">
        <v>83</v>
      </c>
      <c r="C38" s="31"/>
      <c r="D38" s="9">
        <f t="shared" si="6"/>
        <v>0</v>
      </c>
      <c r="E38" s="9">
        <f t="shared" si="6"/>
        <v>0</v>
      </c>
      <c r="F38" s="9">
        <f t="shared" si="6"/>
        <v>0</v>
      </c>
      <c r="G38" s="9">
        <f t="shared" si="6"/>
        <v>0</v>
      </c>
      <c r="H38" s="9">
        <f t="shared" si="6"/>
        <v>0</v>
      </c>
      <c r="I38" s="9">
        <f t="shared" si="6"/>
        <v>0</v>
      </c>
      <c r="J38" s="9">
        <f t="shared" si="6"/>
        <v>0</v>
      </c>
      <c r="K38" s="9">
        <f t="shared" si="6"/>
        <v>0</v>
      </c>
      <c r="L38" s="9">
        <f t="shared" si="6"/>
        <v>0</v>
      </c>
      <c r="M38" s="9">
        <f t="shared" si="6"/>
        <v>0</v>
      </c>
      <c r="N38" s="9">
        <f t="shared" si="6"/>
        <v>0</v>
      </c>
      <c r="O38" s="9">
        <f t="shared" si="6"/>
        <v>0</v>
      </c>
      <c r="P38" s="9">
        <f t="shared" si="6"/>
        <v>0</v>
      </c>
      <c r="Q38" s="9">
        <f t="shared" si="6"/>
        <v>0</v>
      </c>
      <c r="R38" s="11">
        <f>SUM(D38:Q38)</f>
        <v>0</v>
      </c>
    </row>
    <row r="39" spans="1:18" x14ac:dyDescent="0.25">
      <c r="A39" s="182"/>
      <c r="B39" s="51" t="s">
        <v>84</v>
      </c>
      <c r="C39" s="31"/>
      <c r="D39" s="9">
        <f t="shared" si="6"/>
        <v>0</v>
      </c>
      <c r="E39" s="9">
        <f t="shared" si="6"/>
        <v>0</v>
      </c>
      <c r="F39" s="9">
        <f t="shared" si="6"/>
        <v>0</v>
      </c>
      <c r="G39" s="9">
        <f t="shared" si="6"/>
        <v>0</v>
      </c>
      <c r="H39" s="9">
        <f t="shared" si="6"/>
        <v>0</v>
      </c>
      <c r="I39" s="9">
        <f t="shared" si="6"/>
        <v>0</v>
      </c>
      <c r="J39" s="9">
        <f t="shared" si="6"/>
        <v>0</v>
      </c>
      <c r="K39" s="9">
        <f t="shared" si="6"/>
        <v>0</v>
      </c>
      <c r="L39" s="9">
        <f t="shared" si="6"/>
        <v>0</v>
      </c>
      <c r="M39" s="9">
        <f t="shared" si="6"/>
        <v>0</v>
      </c>
      <c r="N39" s="9">
        <f t="shared" si="6"/>
        <v>0</v>
      </c>
      <c r="O39" s="9">
        <f t="shared" si="6"/>
        <v>0</v>
      </c>
      <c r="P39" s="9">
        <f t="shared" si="6"/>
        <v>0</v>
      </c>
      <c r="Q39" s="9">
        <f t="shared" si="6"/>
        <v>0</v>
      </c>
      <c r="R39" s="11"/>
    </row>
    <row r="40" spans="1:18" x14ac:dyDescent="0.25">
      <c r="A40" s="182"/>
      <c r="B40" s="21" t="s">
        <v>85</v>
      </c>
      <c r="C40" s="31"/>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9">
        <f t="shared" si="6"/>
        <v>0</v>
      </c>
      <c r="O40" s="9">
        <f t="shared" si="6"/>
        <v>0</v>
      </c>
      <c r="P40" s="9">
        <f t="shared" si="6"/>
        <v>0</v>
      </c>
      <c r="Q40" s="9">
        <f t="shared" si="6"/>
        <v>0</v>
      </c>
      <c r="R40" s="11">
        <f>SUM(D40:Q40)</f>
        <v>0</v>
      </c>
    </row>
    <row r="41" spans="1:18" x14ac:dyDescent="0.25">
      <c r="A41" s="182"/>
      <c r="B41" s="22" t="s">
        <v>86</v>
      </c>
      <c r="C41" s="31"/>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9">
        <f t="shared" si="6"/>
        <v>0</v>
      </c>
      <c r="O41" s="9">
        <f t="shared" si="6"/>
        <v>0</v>
      </c>
      <c r="P41" s="9">
        <f t="shared" si="6"/>
        <v>0</v>
      </c>
      <c r="Q41" s="9">
        <f t="shared" si="6"/>
        <v>0</v>
      </c>
      <c r="R41" s="11">
        <f>SUM(D41:Q41)</f>
        <v>0</v>
      </c>
    </row>
    <row r="42" spans="1:18" ht="45" x14ac:dyDescent="0.25">
      <c r="A42" s="182"/>
      <c r="B42" s="55" t="s">
        <v>87</v>
      </c>
      <c r="C42" s="31"/>
      <c r="D42" s="15">
        <f t="shared" ref="D42:R42" si="7">SUM(D36:D41)</f>
        <v>0</v>
      </c>
      <c r="E42" s="16">
        <f t="shared" si="7"/>
        <v>0</v>
      </c>
      <c r="F42" s="15">
        <f t="shared" si="7"/>
        <v>0</v>
      </c>
      <c r="G42" s="16">
        <f t="shared" si="7"/>
        <v>0</v>
      </c>
      <c r="H42" s="15">
        <f t="shared" si="7"/>
        <v>0</v>
      </c>
      <c r="I42" s="16">
        <f t="shared" si="7"/>
        <v>0</v>
      </c>
      <c r="J42" s="15">
        <f t="shared" si="7"/>
        <v>0</v>
      </c>
      <c r="K42" s="16">
        <f t="shared" si="7"/>
        <v>0</v>
      </c>
      <c r="L42" s="15">
        <f t="shared" si="7"/>
        <v>0</v>
      </c>
      <c r="M42" s="16">
        <f t="shared" si="7"/>
        <v>0</v>
      </c>
      <c r="N42" s="15">
        <f t="shared" si="7"/>
        <v>0</v>
      </c>
      <c r="O42" s="16">
        <f t="shared" si="7"/>
        <v>0</v>
      </c>
      <c r="P42" s="15">
        <f t="shared" si="7"/>
        <v>0</v>
      </c>
      <c r="Q42" s="17">
        <f t="shared" si="7"/>
        <v>0</v>
      </c>
      <c r="R42" s="17">
        <f t="shared" si="7"/>
        <v>0</v>
      </c>
    </row>
    <row r="43" spans="1:18" x14ac:dyDescent="0.25">
      <c r="A43" s="182"/>
      <c r="B43" s="14"/>
      <c r="C43" s="31"/>
      <c r="D43" s="14"/>
      <c r="E43" s="14"/>
      <c r="F43" s="14"/>
      <c r="G43" s="14"/>
      <c r="H43" s="14"/>
      <c r="I43" s="14"/>
      <c r="J43" s="14"/>
      <c r="K43" s="14"/>
      <c r="L43" s="14"/>
      <c r="M43" s="14"/>
      <c r="N43" s="14"/>
      <c r="O43" s="14"/>
      <c r="P43" s="14"/>
      <c r="Q43" s="14"/>
      <c r="R43" s="6"/>
    </row>
    <row r="44" spans="1:18" x14ac:dyDescent="0.25">
      <c r="A44" s="182"/>
      <c r="B44" s="14"/>
      <c r="C44" s="31"/>
      <c r="D44" s="14"/>
      <c r="E44" s="14"/>
      <c r="F44" s="14"/>
      <c r="G44" s="14"/>
      <c r="H44" s="14"/>
      <c r="I44" s="14"/>
      <c r="J44" s="14"/>
      <c r="K44" s="14"/>
      <c r="L44" s="14"/>
      <c r="M44" s="14"/>
      <c r="N44" s="14"/>
      <c r="O44" s="14"/>
      <c r="P44" s="14"/>
      <c r="Q44" s="14"/>
      <c r="R44" s="8" t="s">
        <v>88</v>
      </c>
    </row>
    <row r="45" spans="1:18" x14ac:dyDescent="0.25">
      <c r="A45" s="183"/>
      <c r="B45" s="52" t="s">
        <v>75</v>
      </c>
      <c r="C45" s="31"/>
      <c r="D45" s="12">
        <f>COUNTIF($D$4:$D$32,$B32)</f>
        <v>0</v>
      </c>
      <c r="E45" s="12">
        <f t="shared" ref="E45:Q45" si="8">COUNTIF($D$4:$D$32,$B32)</f>
        <v>0</v>
      </c>
      <c r="F45" s="12">
        <f t="shared" si="8"/>
        <v>0</v>
      </c>
      <c r="G45" s="12">
        <f t="shared" si="8"/>
        <v>0</v>
      </c>
      <c r="H45" s="12">
        <f t="shared" si="8"/>
        <v>0</v>
      </c>
      <c r="I45" s="12">
        <f t="shared" si="8"/>
        <v>0</v>
      </c>
      <c r="J45" s="12">
        <f t="shared" si="8"/>
        <v>0</v>
      </c>
      <c r="K45" s="12">
        <f t="shared" si="8"/>
        <v>0</v>
      </c>
      <c r="L45" s="12">
        <f t="shared" si="8"/>
        <v>0</v>
      </c>
      <c r="M45" s="12">
        <f t="shared" si="8"/>
        <v>0</v>
      </c>
      <c r="N45" s="12">
        <f t="shared" si="8"/>
        <v>0</v>
      </c>
      <c r="O45" s="12">
        <f t="shared" si="8"/>
        <v>0</v>
      </c>
      <c r="P45" s="12">
        <f t="shared" si="8"/>
        <v>0</v>
      </c>
      <c r="Q45" s="12">
        <f t="shared" si="8"/>
        <v>0</v>
      </c>
      <c r="R45" s="13">
        <f>SUM(D45:Q45)</f>
        <v>0</v>
      </c>
    </row>
  </sheetData>
  <mergeCells count="11">
    <mergeCell ref="A33:A45"/>
    <mergeCell ref="J2:K2"/>
    <mergeCell ref="L2:M2"/>
    <mergeCell ref="N2:O2"/>
    <mergeCell ref="P2:Q2"/>
    <mergeCell ref="A1:A2"/>
    <mergeCell ref="B1:B2"/>
    <mergeCell ref="C1:C2"/>
    <mergeCell ref="D2:E2"/>
    <mergeCell ref="F2:G2"/>
    <mergeCell ref="H2:I2"/>
  </mergeCells>
  <conditionalFormatting sqref="D36:Q41 D42:R42 D45:Q45">
    <cfRule type="cellIs" dxfId="18" priority="1" operator="equal">
      <formula>0</formula>
    </cfRule>
  </conditionalFormatting>
  <conditionalFormatting sqref="R3:R32">
    <cfRule type="cellIs" dxfId="17" priority="2" operator="equal">
      <formula>0</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9FE37-9D5E-4BD8-A2E8-AED5A3DD5988}">
  <sheetPr>
    <tabColor theme="1" tint="0.499984740745262"/>
  </sheetPr>
  <dimension ref="A1:O22"/>
  <sheetViews>
    <sheetView workbookViewId="0">
      <pane ySplit="1" topLeftCell="A2" activePane="bottomLeft" state="frozen"/>
      <selection pane="bottomLeft" activeCell="G13" sqref="G13"/>
    </sheetView>
  </sheetViews>
  <sheetFormatPr defaultRowHeight="15.75" x14ac:dyDescent="0.25"/>
  <cols>
    <col min="1" max="1" width="9" customWidth="1"/>
    <col min="2" max="2" width="24" customWidth="1"/>
    <col min="3" max="4" width="33.25" customWidth="1"/>
    <col min="5" max="5" width="25.5" customWidth="1"/>
    <col min="6" max="6" width="21" customWidth="1"/>
    <col min="7" max="7" width="17.625" bestFit="1" customWidth="1"/>
    <col min="8" max="8" width="15.875" bestFit="1" customWidth="1"/>
    <col min="9" max="10" width="13.625" customWidth="1"/>
    <col min="11" max="11" width="24" customWidth="1"/>
    <col min="13" max="13" width="20" customWidth="1"/>
    <col min="14" max="14" width="33.625" bestFit="1" customWidth="1"/>
    <col min="15" max="15" width="18" bestFit="1" customWidth="1"/>
  </cols>
  <sheetData>
    <row r="1" spans="1:15" ht="45" x14ac:dyDescent="0.25">
      <c r="A1" s="64" t="s">
        <v>0</v>
      </c>
      <c r="B1" s="64" t="s">
        <v>1</v>
      </c>
      <c r="C1" s="64" t="s">
        <v>2</v>
      </c>
      <c r="D1" s="64" t="s">
        <v>4</v>
      </c>
      <c r="E1" s="64" t="s">
        <v>5</v>
      </c>
      <c r="F1" s="64" t="s">
        <v>6</v>
      </c>
      <c r="G1" s="64" t="s">
        <v>7</v>
      </c>
      <c r="H1" s="64" t="s">
        <v>8</v>
      </c>
      <c r="I1" s="64" t="s">
        <v>9</v>
      </c>
      <c r="J1" s="64" t="s">
        <v>10</v>
      </c>
      <c r="K1" s="64" t="s">
        <v>11</v>
      </c>
      <c r="L1" s="64" t="s">
        <v>12</v>
      </c>
      <c r="M1" s="64" t="s">
        <v>13</v>
      </c>
      <c r="N1" s="65" t="s">
        <v>14</v>
      </c>
      <c r="O1" s="65" t="s">
        <v>15</v>
      </c>
    </row>
    <row r="2" spans="1:15" x14ac:dyDescent="0.25">
      <c r="A2" s="66" t="s">
        <v>20</v>
      </c>
      <c r="B2" s="82" t="s">
        <v>20</v>
      </c>
      <c r="C2" s="79"/>
      <c r="D2" s="81" t="s">
        <v>20</v>
      </c>
      <c r="E2" s="79"/>
      <c r="F2" s="79"/>
      <c r="G2" s="66" t="s">
        <v>20</v>
      </c>
      <c r="H2" s="66" t="s">
        <v>20</v>
      </c>
      <c r="I2" s="80"/>
      <c r="J2" s="80"/>
      <c r="K2" s="69" t="s">
        <v>20</v>
      </c>
      <c r="L2" s="66"/>
      <c r="M2" s="66"/>
      <c r="N2" s="79"/>
      <c r="O2" s="79"/>
    </row>
    <row r="3" spans="1:15" x14ac:dyDescent="0.25">
      <c r="A3" s="63" t="s">
        <v>20</v>
      </c>
      <c r="B3" s="82" t="s">
        <v>20</v>
      </c>
      <c r="C3" s="67"/>
      <c r="D3" s="81" t="s">
        <v>20</v>
      </c>
      <c r="E3" s="67"/>
      <c r="F3" s="67"/>
      <c r="G3" s="63" t="s">
        <v>20</v>
      </c>
      <c r="H3" s="63" t="s">
        <v>20</v>
      </c>
      <c r="I3" s="68"/>
      <c r="J3" s="68"/>
      <c r="K3" s="70" t="s">
        <v>20</v>
      </c>
      <c r="L3" s="63"/>
      <c r="M3" s="66"/>
      <c r="N3" s="67"/>
      <c r="O3" s="67"/>
    </row>
    <row r="4" spans="1:15" x14ac:dyDescent="0.25">
      <c r="A4" s="63" t="s">
        <v>20</v>
      </c>
      <c r="B4" s="82" t="s">
        <v>20</v>
      </c>
      <c r="C4" s="67"/>
      <c r="D4" s="81" t="s">
        <v>20</v>
      </c>
      <c r="E4" s="67"/>
      <c r="F4" s="67"/>
      <c r="G4" s="63" t="s">
        <v>20</v>
      </c>
      <c r="H4" s="63" t="s">
        <v>20</v>
      </c>
      <c r="I4" s="68"/>
      <c r="J4" s="68"/>
      <c r="K4" s="70" t="s">
        <v>20</v>
      </c>
      <c r="L4" s="63"/>
      <c r="M4" s="66"/>
      <c r="N4" s="67"/>
      <c r="O4" s="67"/>
    </row>
    <row r="5" spans="1:15" x14ac:dyDescent="0.25">
      <c r="A5" s="63" t="s">
        <v>20</v>
      </c>
      <c r="B5" s="82" t="s">
        <v>20</v>
      </c>
      <c r="C5" s="67"/>
      <c r="D5" s="81" t="s">
        <v>20</v>
      </c>
      <c r="E5" s="67"/>
      <c r="F5" s="67"/>
      <c r="G5" s="63" t="s">
        <v>20</v>
      </c>
      <c r="H5" s="63" t="s">
        <v>20</v>
      </c>
      <c r="I5" s="68"/>
      <c r="J5" s="68"/>
      <c r="K5" s="70" t="s">
        <v>20</v>
      </c>
      <c r="L5" s="63"/>
      <c r="M5" s="66"/>
      <c r="N5" s="67"/>
      <c r="O5" s="67"/>
    </row>
    <row r="6" spans="1:15" x14ac:dyDescent="0.25">
      <c r="A6" s="63" t="s">
        <v>20</v>
      </c>
      <c r="B6" s="82" t="s">
        <v>20</v>
      </c>
      <c r="C6" s="67"/>
      <c r="D6" s="81" t="s">
        <v>20</v>
      </c>
      <c r="E6" s="67"/>
      <c r="F6" s="67"/>
      <c r="G6" s="63" t="s">
        <v>20</v>
      </c>
      <c r="H6" s="63" t="s">
        <v>20</v>
      </c>
      <c r="I6" s="68"/>
      <c r="J6" s="68"/>
      <c r="K6" s="70" t="s">
        <v>20</v>
      </c>
      <c r="L6" s="63"/>
      <c r="M6" s="66"/>
      <c r="N6" s="67"/>
      <c r="O6" s="67"/>
    </row>
    <row r="7" spans="1:15" x14ac:dyDescent="0.25">
      <c r="A7" s="63" t="s">
        <v>20</v>
      </c>
      <c r="B7" s="82" t="s">
        <v>20</v>
      </c>
      <c r="C7" s="67"/>
      <c r="D7" s="81" t="s">
        <v>20</v>
      </c>
      <c r="E7" s="67"/>
      <c r="F7" s="67"/>
      <c r="G7" s="63" t="s">
        <v>20</v>
      </c>
      <c r="H7" s="63" t="s">
        <v>20</v>
      </c>
      <c r="I7" s="68"/>
      <c r="J7" s="68"/>
      <c r="K7" s="70" t="s">
        <v>20</v>
      </c>
      <c r="L7" s="63"/>
      <c r="M7" s="66"/>
      <c r="N7" s="67"/>
      <c r="O7" s="67"/>
    </row>
    <row r="8" spans="1:15" x14ac:dyDescent="0.25">
      <c r="A8" s="63" t="s">
        <v>20</v>
      </c>
      <c r="B8" s="82" t="s">
        <v>20</v>
      </c>
      <c r="C8" s="67"/>
      <c r="D8" s="81" t="s">
        <v>20</v>
      </c>
      <c r="E8" s="67"/>
      <c r="F8" s="67"/>
      <c r="G8" s="63" t="s">
        <v>20</v>
      </c>
      <c r="H8" s="63" t="s">
        <v>20</v>
      </c>
      <c r="I8" s="68"/>
      <c r="J8" s="68"/>
      <c r="K8" s="70" t="s">
        <v>20</v>
      </c>
      <c r="L8" s="63"/>
      <c r="M8" s="66"/>
      <c r="N8" s="67"/>
      <c r="O8" s="67"/>
    </row>
    <row r="9" spans="1:15" x14ac:dyDescent="0.25">
      <c r="A9" s="63" t="s">
        <v>20</v>
      </c>
      <c r="B9" s="82" t="s">
        <v>20</v>
      </c>
      <c r="C9" s="67"/>
      <c r="D9" s="81" t="s">
        <v>20</v>
      </c>
      <c r="E9" s="67"/>
      <c r="F9" s="67"/>
      <c r="G9" s="63" t="s">
        <v>20</v>
      </c>
      <c r="H9" s="63" t="s">
        <v>20</v>
      </c>
      <c r="I9" s="68"/>
      <c r="J9" s="68"/>
      <c r="K9" s="70" t="s">
        <v>20</v>
      </c>
      <c r="L9" s="71"/>
      <c r="M9" s="66"/>
      <c r="N9" s="67"/>
      <c r="O9" s="67"/>
    </row>
    <row r="10" spans="1:15" x14ac:dyDescent="0.25">
      <c r="A10" s="63" t="s">
        <v>20</v>
      </c>
      <c r="B10" s="82" t="s">
        <v>20</v>
      </c>
      <c r="C10" s="67"/>
      <c r="D10" s="81" t="s">
        <v>20</v>
      </c>
      <c r="E10" s="67"/>
      <c r="F10" s="67"/>
      <c r="G10" s="63" t="s">
        <v>20</v>
      </c>
      <c r="H10" s="63" t="s">
        <v>20</v>
      </c>
      <c r="I10" s="68"/>
      <c r="J10" s="68"/>
      <c r="K10" s="70" t="s">
        <v>20</v>
      </c>
      <c r="L10" s="63"/>
      <c r="M10" s="66"/>
      <c r="N10" s="72"/>
      <c r="O10" s="67"/>
    </row>
    <row r="13" spans="1:15" x14ac:dyDescent="0.25">
      <c r="K13" s="76" t="s">
        <v>49</v>
      </c>
      <c r="L13" s="75">
        <f>SUM(L2:L10)</f>
        <v>0</v>
      </c>
    </row>
    <row r="14" spans="1:15" x14ac:dyDescent="0.25">
      <c r="K14" s="77" t="s">
        <v>50</v>
      </c>
      <c r="L14" s="68">
        <f xml:space="preserve"> SUMIF(K2:K10, "Yes",L2:L10)</f>
        <v>0</v>
      </c>
    </row>
    <row r="15" spans="1:15" x14ac:dyDescent="0.25">
      <c r="K15" s="76" t="s">
        <v>51</v>
      </c>
      <c r="L15" s="73">
        <f>FLOOR((((L19-(L19*L20)-L22)*L18)-(((L19-(L19*L20)-L22)*L18)*L21)),1)</f>
        <v>0</v>
      </c>
    </row>
    <row r="16" spans="1:15" x14ac:dyDescent="0.25">
      <c r="K16" s="77" t="s">
        <v>52</v>
      </c>
      <c r="L16" s="74">
        <f>MAX(0, MIN(100, L14-L15))</f>
        <v>0</v>
      </c>
    </row>
    <row r="17" spans="11:12" x14ac:dyDescent="0.25">
      <c r="K17" s="78"/>
      <c r="L17" s="62"/>
    </row>
    <row r="18" spans="11:12" x14ac:dyDescent="0.25">
      <c r="K18" s="77" t="s">
        <v>53</v>
      </c>
      <c r="L18" s="74"/>
    </row>
    <row r="19" spans="11:12" x14ac:dyDescent="0.25">
      <c r="K19" s="77" t="s">
        <v>54</v>
      </c>
      <c r="L19" s="74"/>
    </row>
    <row r="20" spans="11:12" x14ac:dyDescent="0.25">
      <c r="K20" s="77" t="s">
        <v>55</v>
      </c>
      <c r="L20" s="74"/>
    </row>
    <row r="21" spans="11:12" x14ac:dyDescent="0.25">
      <c r="K21" s="76" t="s">
        <v>56</v>
      </c>
      <c r="L21" s="74"/>
    </row>
    <row r="22" spans="11:12" x14ac:dyDescent="0.25">
      <c r="K22" s="77" t="s">
        <v>57</v>
      </c>
      <c r="L22" s="74"/>
    </row>
  </sheetData>
  <conditionalFormatting sqref="A1:B1 A2:A10 A11:B1048576">
    <cfRule type="cellIs" dxfId="16" priority="4" operator="equal">
      <formula>"P4"</formula>
    </cfRule>
    <cfRule type="cellIs" dxfId="15" priority="5" operator="equal">
      <formula>"P3"</formula>
    </cfRule>
    <cfRule type="cellIs" dxfId="14" priority="6" operator="equal">
      <formula>"P2"</formula>
    </cfRule>
    <cfRule type="cellIs" dxfId="13" priority="7" operator="equal">
      <formula>"P1"</formula>
    </cfRule>
    <cfRule type="cellIs" dxfId="12" priority="8" operator="equal">
      <formula>"P0"</formula>
    </cfRule>
  </conditionalFormatting>
  <conditionalFormatting sqref="B1:B1048576">
    <cfRule type="cellIs" dxfId="11" priority="1" operator="equal">
      <formula>"Engineering Excellence"</formula>
    </cfRule>
    <cfRule type="cellIs" dxfId="10" priority="2" operator="equal">
      <formula>"Non-Dev Commitment"</formula>
    </cfRule>
    <cfRule type="cellIs" dxfId="9" priority="3" operator="equal">
      <formula>"Product Commitment"</formula>
    </cfRule>
  </conditionalFormatting>
  <conditionalFormatting sqref="K1:K11 K21:K1048576">
    <cfRule type="containsText" dxfId="8" priority="11" operator="containsText" text="No">
      <formula>NOT(ISERROR(SEARCH("No",K1)))</formula>
    </cfRule>
    <cfRule type="containsText" dxfId="7" priority="12" operator="containsText" text="Yes">
      <formula>NOT(ISERROR(SEARCH("Yes",K1)))</formula>
    </cfRule>
    <cfRule type="containsText" dxfId="6" priority="13" operator="containsText" text="TBD">
      <formula>NOT(ISERROR(SEARCH("TBD",K1)))</formula>
    </cfRule>
  </conditionalFormatting>
  <conditionalFormatting sqref="L16">
    <cfRule type="cellIs" dxfId="5" priority="9" operator="greaterThan">
      <formula>0</formula>
    </cfRule>
    <cfRule type="cellIs" dxfId="4" priority="10" operator="equal">
      <formula>0</formula>
    </cfRule>
  </conditionalFormatting>
  <dataValidations count="1">
    <dataValidation allowBlank="1" showInputMessage="1" showErrorMessage="1" sqref="H1:I1" xr:uid="{6174718F-39E5-4241-9615-E0D89EDB747D}"/>
  </dataValidations>
  <pageMargins left="0.7" right="0.7" top="0.75" bottom="0.75" header="0.3" footer="0.3"/>
  <drawing r:id="rId1"/>
  <extLst>
    <ext xmlns:x14="http://schemas.microsoft.com/office/spreadsheetml/2009/9/main" uri="{CCE6A557-97BC-4b89-ADB6-D9C93CAAB3DF}">
      <x14:dataValidations xmlns:xm="http://schemas.microsoft.com/office/excel/2006/main" count="6">
        <x14:dataValidation type="list" allowBlank="1" showInputMessage="1" showErrorMessage="1" xr:uid="{E528C2CF-3779-488F-9A0F-DFB2C7391F75}">
          <x14:formula1>
            <xm:f>Dropdowns!$A$2:$A$30</xm:f>
          </x14:formula1>
          <xm:sqref>A2:A10</xm:sqref>
        </x14:dataValidation>
        <x14:dataValidation type="list" allowBlank="1" showInputMessage="1" showErrorMessage="1" xr:uid="{08499902-C85C-4AE9-9AB9-2659C9E4B8E3}">
          <x14:formula1>
            <xm:f>Dropdowns!$B$2:$B$30</xm:f>
          </x14:formula1>
          <xm:sqref>G2:G10</xm:sqref>
        </x14:dataValidation>
        <x14:dataValidation type="list" allowBlank="1" showInputMessage="1" showErrorMessage="1" xr:uid="{8B4F6BBC-DADA-47E5-B154-7C603130D2D3}">
          <x14:formula1>
            <xm:f>Dropdowns!$C$2:$C$30</xm:f>
          </x14:formula1>
          <xm:sqref>H2:H10</xm:sqref>
        </x14:dataValidation>
        <x14:dataValidation type="list" allowBlank="1" showInputMessage="1" showErrorMessage="1" xr:uid="{37E8C6DA-4881-41F5-8663-9FBDC14D93C7}">
          <x14:formula1>
            <xm:f>Dropdowns!$D$2:$D$30</xm:f>
          </x14:formula1>
          <xm:sqref>K2:K10</xm:sqref>
        </x14:dataValidation>
        <x14:dataValidation type="list" allowBlank="1" showInputMessage="1" showErrorMessage="1" xr:uid="{929FB4CC-9AE7-483C-A05F-F7A3AF5A7E5A}">
          <x14:formula1>
            <xm:f>Dropdowns!$F$2:$F$30</xm:f>
          </x14:formula1>
          <xm:sqref>D2:D10</xm:sqref>
        </x14:dataValidation>
        <x14:dataValidation type="list" allowBlank="1" showInputMessage="1" showErrorMessage="1" xr:uid="{98EDB7FD-4B20-43A1-8229-260C4C6C6793}">
          <x14:formula1>
            <xm:f>Dropdowns!$H$2:$H$8</xm:f>
          </x14:formula1>
          <xm:sqref>B2:B10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C4B14-7B61-495F-869B-8A465826B216}">
  <sheetPr>
    <tabColor theme="1" tint="0.499984740745262"/>
  </sheetPr>
  <dimension ref="A1:D10"/>
  <sheetViews>
    <sheetView workbookViewId="0">
      <pane ySplit="1" topLeftCell="A2" activePane="bottomLeft" state="frozen"/>
      <selection pane="bottomLeft" activeCell="I39" sqref="I39"/>
    </sheetView>
  </sheetViews>
  <sheetFormatPr defaultRowHeight="15.75" x14ac:dyDescent="0.25"/>
  <cols>
    <col min="1" max="1" width="38" style="3" customWidth="1"/>
    <col min="2" max="2" width="22" style="3" customWidth="1"/>
    <col min="3" max="3" width="22.5" style="32" customWidth="1"/>
    <col min="4" max="4" width="22.375" style="3" customWidth="1"/>
  </cols>
  <sheetData>
    <row r="1" spans="1:4" x14ac:dyDescent="0.25">
      <c r="A1" s="64" t="s">
        <v>2</v>
      </c>
      <c r="B1" s="64" t="s">
        <v>89</v>
      </c>
      <c r="C1" s="64" t="s">
        <v>90</v>
      </c>
      <c r="D1" s="64" t="s">
        <v>91</v>
      </c>
    </row>
    <row r="2" spans="1:4" x14ac:dyDescent="0.25">
      <c r="C2" s="32" t="s">
        <v>20</v>
      </c>
      <c r="D2" s="4"/>
    </row>
    <row r="3" spans="1:4" x14ac:dyDescent="0.25">
      <c r="C3" s="32" t="s">
        <v>20</v>
      </c>
    </row>
    <row r="4" spans="1:4" x14ac:dyDescent="0.25">
      <c r="C4" s="32" t="s">
        <v>20</v>
      </c>
    </row>
    <row r="5" spans="1:4" x14ac:dyDescent="0.25">
      <c r="C5" s="32" t="s">
        <v>20</v>
      </c>
    </row>
    <row r="6" spans="1:4" x14ac:dyDescent="0.25">
      <c r="C6" s="32" t="s">
        <v>20</v>
      </c>
    </row>
    <row r="7" spans="1:4" x14ac:dyDescent="0.25">
      <c r="C7" s="32" t="s">
        <v>20</v>
      </c>
    </row>
    <row r="8" spans="1:4" x14ac:dyDescent="0.25">
      <c r="C8" s="32" t="s">
        <v>20</v>
      </c>
    </row>
    <row r="9" spans="1:4" x14ac:dyDescent="0.25">
      <c r="C9" s="32" t="s">
        <v>20</v>
      </c>
    </row>
    <row r="10" spans="1:4" x14ac:dyDescent="0.25">
      <c r="C10" s="32" t="s">
        <v>20</v>
      </c>
    </row>
  </sheetData>
  <conditionalFormatting sqref="C1:C1048576">
    <cfRule type="containsText" dxfId="3" priority="1" operator="containsText" text="Unplanned">
      <formula>NOT(ISERROR(SEARCH("Unplanned",C1)))</formula>
    </cfRule>
    <cfRule type="containsText" dxfId="2" priority="2" operator="containsText" text="Removed">
      <formula>NOT(ISERROR(SEARCH("Removed",C1)))</formula>
    </cfRule>
    <cfRule type="containsText" dxfId="1" priority="3" operator="containsText" text="Delivered / In Rollout">
      <formula>NOT(ISERROR(SEARCH("Delivered / In Rollout",C1)))</formula>
    </cfRule>
    <cfRule type="containsText" dxfId="0" priority="4" operator="containsText" text="Delayed to Next Quarter">
      <formula>NOT(ISERROR(SEARCH("Delayed to Next Quarter",C1)))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396D2BD-DD33-4210-A4AB-5CC8F48EE5DD}">
          <x14:formula1>
            <xm:f>Dropdowns!$E$2:$E$30</xm:f>
          </x14:formula1>
          <xm:sqref>C2:C10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7673A-B380-4FD1-AED5-D17D73F95476}">
  <sheetPr>
    <tabColor theme="1" tint="0.499984740745262"/>
  </sheetPr>
  <dimension ref="A1:H8"/>
  <sheetViews>
    <sheetView topLeftCell="D1" workbookViewId="0">
      <selection activeCell="H12" sqref="H12"/>
    </sheetView>
  </sheetViews>
  <sheetFormatPr defaultRowHeight="15.75" x14ac:dyDescent="0.25"/>
  <cols>
    <col min="2" max="2" width="17.625" bestFit="1" customWidth="1"/>
    <col min="3" max="3" width="16.25" customWidth="1"/>
    <col min="5" max="5" width="22" customWidth="1"/>
    <col min="6" max="6" width="15.125" customWidth="1"/>
  </cols>
  <sheetData>
    <row r="1" spans="1:8" x14ac:dyDescent="0.25">
      <c r="A1" s="1" t="s">
        <v>0</v>
      </c>
      <c r="B1" s="1" t="s">
        <v>92</v>
      </c>
      <c r="C1" s="1" t="s">
        <v>93</v>
      </c>
      <c r="D1" s="1" t="s">
        <v>94</v>
      </c>
      <c r="E1" s="1" t="s">
        <v>90</v>
      </c>
      <c r="F1" s="1" t="s">
        <v>4</v>
      </c>
      <c r="G1" s="1" t="s">
        <v>95</v>
      </c>
      <c r="H1" s="1" t="s">
        <v>1</v>
      </c>
    </row>
    <row r="2" spans="1:8" x14ac:dyDescent="0.25">
      <c r="A2" t="s">
        <v>20</v>
      </c>
      <c r="B2" t="s">
        <v>20</v>
      </c>
      <c r="C2" t="s">
        <v>20</v>
      </c>
      <c r="D2" t="s">
        <v>20</v>
      </c>
      <c r="E2" t="s">
        <v>20</v>
      </c>
      <c r="F2" t="s">
        <v>20</v>
      </c>
      <c r="G2" t="s">
        <v>20</v>
      </c>
      <c r="H2" t="s">
        <v>20</v>
      </c>
    </row>
    <row r="3" spans="1:8" x14ac:dyDescent="0.25">
      <c r="A3" t="s">
        <v>16</v>
      </c>
      <c r="B3" t="s">
        <v>96</v>
      </c>
      <c r="C3" t="s">
        <v>97</v>
      </c>
      <c r="D3" t="s">
        <v>23</v>
      </c>
      <c r="E3" t="s">
        <v>98</v>
      </c>
      <c r="F3" t="s">
        <v>99</v>
      </c>
      <c r="G3" t="s">
        <v>100</v>
      </c>
      <c r="H3" t="s">
        <v>17</v>
      </c>
    </row>
    <row r="4" spans="1:8" x14ac:dyDescent="0.25">
      <c r="A4" t="s">
        <v>33</v>
      </c>
      <c r="B4" t="s">
        <v>101</v>
      </c>
      <c r="C4" t="s">
        <v>102</v>
      </c>
      <c r="D4" t="s">
        <v>103</v>
      </c>
      <c r="E4" t="s">
        <v>104</v>
      </c>
      <c r="F4" t="s">
        <v>105</v>
      </c>
      <c r="G4" t="s">
        <v>106</v>
      </c>
      <c r="H4" t="s">
        <v>107</v>
      </c>
    </row>
    <row r="5" spans="1:8" x14ac:dyDescent="0.25">
      <c r="A5" t="s">
        <v>108</v>
      </c>
      <c r="B5" t="s">
        <v>109</v>
      </c>
      <c r="C5" t="s">
        <v>110</v>
      </c>
      <c r="D5" t="s">
        <v>111</v>
      </c>
      <c r="E5" t="s">
        <v>112</v>
      </c>
      <c r="F5" t="s">
        <v>113</v>
      </c>
      <c r="G5" t="s">
        <v>114</v>
      </c>
      <c r="H5" t="s">
        <v>46</v>
      </c>
    </row>
    <row r="6" spans="1:8" x14ac:dyDescent="0.25">
      <c r="A6" t="s">
        <v>115</v>
      </c>
      <c r="C6" t="s">
        <v>116</v>
      </c>
      <c r="E6" t="s">
        <v>117</v>
      </c>
      <c r="F6" t="s">
        <v>118</v>
      </c>
      <c r="G6" t="s">
        <v>119</v>
      </c>
    </row>
    <row r="7" spans="1:8" x14ac:dyDescent="0.25">
      <c r="A7" t="s">
        <v>120</v>
      </c>
      <c r="F7" t="s">
        <v>121</v>
      </c>
      <c r="G7" t="s">
        <v>122</v>
      </c>
    </row>
    <row r="8" spans="1:8" x14ac:dyDescent="0.25">
      <c r="G8" t="s">
        <v>123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7A3C109682A1C049BA07372C6C31F81B" ma:contentTypeVersion="27" ma:contentTypeDescription="Create a new document." ma:contentTypeScope="" ma:versionID="a0662901211aeed6610f2e7952d59add">
  <xsd:schema xmlns:xsd="http://www.w3.org/2001/XMLSchema" xmlns:xs="http://www.w3.org/2001/XMLSchema" xmlns:p="http://schemas.microsoft.com/office/2006/metadata/properties" xmlns:ns2="5188dee9-1574-4ee1-93b0-f48dfc9b82cf" xmlns:ns3="2f5a2188-812b-40bf-b06a-388fb238db5d" targetNamespace="http://schemas.microsoft.com/office/2006/metadata/properties" ma:root="true" ma:fieldsID="e8bd21efe050b1bb32dd5d29621225c8" ns2:_="" ns3:_="">
    <xsd:import namespace="5188dee9-1574-4ee1-93b0-f48dfc9b82cf"/>
    <xsd:import namespace="2f5a2188-812b-40bf-b06a-388fb238db5d"/>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Location" minOccurs="0"/>
                <xsd:element ref="ns2:SharedWithUsers" minOccurs="0"/>
                <xsd:element ref="ns2:SharedWithDetails"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Whatelseisavailableinreport_x003f_" minOccurs="0"/>
                <xsd:element ref="ns3:lcf76f155ced4ddcb4097134ff3c332f" minOccurs="0"/>
                <xsd:element ref="ns2:TaxCatchAll" minOccurs="0"/>
                <xsd:element ref="ns3:_Flow_SignoffStatus"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88dee9-1574-4ee1-93b0-f48dfc9b82cf"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ternalName="_dlc_DocId" ma:readOnly="true">
      <xsd:simpleType>
        <xsd:restriction base="dms:Text"/>
      </xsd:simpleType>
    </xsd:element>
    <xsd:element name="_dlc_DocIdUrl" ma:index="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Persist ID" ma:description="Keep ID on add." ma:hidden="true" ma:internalName="_dlc_DocIdPersistId" ma:readOnly="true">
      <xsd:simpleType>
        <xsd:restriction base="dms:Boolean"/>
      </xsd:simple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e2e7678e-9edc-42b0-8d05-3f4ec9d6309f}" ma:internalName="TaxCatchAll" ma:showField="CatchAllData" ma:web="5188dee9-1574-4ee1-93b0-f48dfc9b82c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f5a2188-812b-40bf-b06a-388fb238db5d"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9" nillable="true" ma:displayName="MediaServiceDateTaken" ma:hidden="true" ma:internalName="MediaServiceDateTaken" ma:readOnly="true">
      <xsd:simpleType>
        <xsd:restriction base="dms:Text"/>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Location" ma:index="12" nillable="true" ma:displayName="Location"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Whatelseisavailableinreport_x003f_" ma:index="24" nillable="true" ma:displayName="What else is available in report?" ma:internalName="Whatelseisavailableinreport_x003f_">
      <xsd:simpleType>
        <xsd:restriction base="dms:Note">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35460ca-4db8-422e-bf54-da26cf23650f" ma:termSetId="09814cd3-568e-fe90-9814-8d621ff8fb84" ma:anchorId="fba54fb3-c3e1-fe81-a776-ca4b69148c4d" ma:open="true" ma:isKeyword="false">
      <xsd:complexType>
        <xsd:sequence>
          <xsd:element ref="pc:Terms" minOccurs="0" maxOccurs="1"/>
        </xsd:sequence>
      </xsd:complexType>
    </xsd:element>
    <xsd:element name="_Flow_SignoffStatus" ma:index="28" nillable="true" ma:displayName="Sign-off status" ma:internalName="Sign_x002d_off_x0020_status">
      <xsd:simpleType>
        <xsd:restriction base="dms:Text"/>
      </xsd:simpleType>
    </xsd:element>
    <xsd:element name="MediaServiceObjectDetectorVersions" ma:index="2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3"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5188dee9-1574-4ee1-93b0-f48dfc9b82cf">4QNQC6NHFPZH-1421591692-100249</_dlc_DocId>
    <_dlc_DocIdUrl xmlns="5188dee9-1574-4ee1-93b0-f48dfc9b82cf">
      <Url>https://payoneerinc.sharepoint.com/sites/Product/_layouts/15/DocIdRedir.aspx?ID=4QNQC6NHFPZH-1421591692-100249</Url>
      <Description>4QNQC6NHFPZH-1421591692-100249</Description>
    </_dlc_DocIdUrl>
    <Whatelseisavailableinreport_x003f_ xmlns="2f5a2188-812b-40bf-b06a-388fb238db5d" xsi:nil="true"/>
    <_Flow_SignoffStatus xmlns="2f5a2188-812b-40bf-b06a-388fb238db5d" xsi:nil="true"/>
    <lcf76f155ced4ddcb4097134ff3c332f xmlns="2f5a2188-812b-40bf-b06a-388fb238db5d">
      <Terms xmlns="http://schemas.microsoft.com/office/infopath/2007/PartnerControls"/>
    </lcf76f155ced4ddcb4097134ff3c332f>
    <TaxCatchAll xmlns="5188dee9-1574-4ee1-93b0-f48dfc9b82cf" xsi:nil="true"/>
  </documentManagement>
</p:properties>
</file>

<file path=customXml/itemProps1.xml><?xml version="1.0" encoding="utf-8"?>
<ds:datastoreItem xmlns:ds="http://schemas.openxmlformats.org/officeDocument/2006/customXml" ds:itemID="{76F43FCF-6680-4121-9246-3DC177A16F09}">
  <ds:schemaRefs>
    <ds:schemaRef ds:uri="http://schemas.microsoft.com/sharepoint/v3/contenttype/forms"/>
  </ds:schemaRefs>
</ds:datastoreItem>
</file>

<file path=customXml/itemProps2.xml><?xml version="1.0" encoding="utf-8"?>
<ds:datastoreItem xmlns:ds="http://schemas.openxmlformats.org/officeDocument/2006/customXml" ds:itemID="{6AF1A9AF-2DFB-4588-B3F3-E1FA2F0E944A}">
  <ds:schemaRefs>
    <ds:schemaRef ds:uri="http://schemas.microsoft.com/sharepoint/events"/>
  </ds:schemaRefs>
</ds:datastoreItem>
</file>

<file path=customXml/itemProps3.xml><?xml version="1.0" encoding="utf-8"?>
<ds:datastoreItem xmlns:ds="http://schemas.openxmlformats.org/officeDocument/2006/customXml" ds:itemID="{92C1A378-2B4A-4CE8-80F7-218B83D4A5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88dee9-1574-4ee1-93b0-f48dfc9b82cf"/>
    <ds:schemaRef ds:uri="2f5a2188-812b-40bf-b06a-388fb238db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ABADEC8-75CB-45FF-B2DF-1E405DAF6D1C}">
  <ds:schemaRefs>
    <ds:schemaRef ds:uri="http://schemas.microsoft.com/office/2006/metadata/properties"/>
    <ds:schemaRef ds:uri="http://purl.org/dc/elements/1.1/"/>
    <ds:schemaRef ds:uri="http://schemas.microsoft.com/office/2006/documentManagement/types"/>
    <ds:schemaRef ds:uri="5188dee9-1574-4ee1-93b0-f48dfc9b82cf"/>
    <ds:schemaRef ds:uri="http://schemas.openxmlformats.org/package/2006/metadata/core-properties"/>
    <ds:schemaRef ds:uri="http://www.w3.org/XML/1998/namespace"/>
    <ds:schemaRef ds:uri="http://purl.org/dc/terms/"/>
    <ds:schemaRef ds:uri="http://schemas.microsoft.com/office/infopath/2007/PartnerControls"/>
    <ds:schemaRef ds:uri="2f5a2188-812b-40bf-b06a-388fb238db5d"/>
    <ds:schemaRef ds:uri="http://purl.org/dc/dcmitype/"/>
  </ds:schemaRefs>
</ds:datastoreItem>
</file>

<file path=docMetadata/LabelInfo.xml><?xml version="1.0" encoding="utf-8"?>
<clbl:labelList xmlns:clbl="http://schemas.microsoft.com/office/2020/mipLabelMetadata">
  <clbl:label id="{decee90c-ce03-461e-8c21-dd538e181c75}" enabled="0" method="" siteId="{decee90c-ce03-461e-8c21-dd538e181c7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Licenses</vt:lpstr>
      <vt:lpstr>P&amp;Q Plan</vt:lpstr>
      <vt:lpstr>EVS Q3 plan</vt:lpstr>
      <vt:lpstr>KYC Journey Q3 2026</vt:lpstr>
      <vt:lpstr>FDC Q3 2026</vt:lpstr>
      <vt:lpstr>DU Q3 2026</vt:lpstr>
      <vt:lpstr>License Infra</vt:lpstr>
      <vt:lpstr>India License</vt:lpstr>
      <vt:lpstr>Roadmap Template</vt:lpstr>
      <vt:lpstr>Current Quarter Plan Template</vt:lpstr>
      <vt:lpstr>Previous Quarter Plan vs Actual</vt:lpstr>
      <vt:lpstr>Dropdowns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Ido Seter</dc:creator>
  <cp:keywords/>
  <dc:description/>
  <cp:lastModifiedBy>Meital Lahat Dekter</cp:lastModifiedBy>
  <cp:revision/>
  <dcterms:created xsi:type="dcterms:W3CDTF">2025-01-15T10:37:07Z</dcterms:created>
  <dcterms:modified xsi:type="dcterms:W3CDTF">2026-06-18T15:45:58Z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0x0101007A3C109682A1C049BA07372C6C31F81B</vt:lpwstr>
  </property>
  <property fmtid="{D5CDD505-2E9C-101B-9397-08002B2CF9AE}" pid="3" name="_dlc_DocIdItemGuid">
    <vt:lpwstr>709eee0c-409e-49af-befb-3ac3b29d1e6c</vt:lpwstr>
  </property>
  <property fmtid="{D5CDD505-2E9C-101B-9397-08002B2CF9AE}" pid="4" name="MediaServiceImageTags">
    <vt:lpwstr/>
  </property>
</Properties>
</file>